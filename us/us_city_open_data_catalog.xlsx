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ce0d57725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d4f1a531484419e"/>
    <x:sheet xmlns:r="http://schemas.openxmlformats.org/officeDocument/2006/relationships" name="Datasets" sheetId="2" r:id="Rf997f8d84d95469f"/>
    <x:sheet xmlns:r="http://schemas.openxmlformats.org/officeDocument/2006/relationships" name="Cities" sheetId="3" r:id="R5e941f0fe2e64667"/>
    <x:sheet xmlns:r="http://schemas.openxmlformats.org/officeDocument/2006/relationships" name="Access guide" sheetId="4" r:id="Rb18b004c3ea0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0364A"/>
      <x:name val="Carlito"/>
    </x:font>
    <x:font>
      <x:b/>
      <x:sz val="11"/>
      <x:color rgb="FFFFFFFF"/>
      <x:name val="Carlito"/>
    </x:font>
    <x:font>
      <x:sz val="11"/>
      <x:color rgb="FF526574"/>
      <x:name val="Carlito"/>
    </x:font>
    <x:font>
      <x:sz val="11"/>
      <x:color rgb="FF1566A8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6E75"/>
      </x:patternFill>
    </x:fill>
    <x:fill>
      <x:patternFill patternType="solid">
        <x:fgColor rgb="FFF0F5F9"/>
      </x:patternFill>
    </x:fill>
    <x:fill>
      <x:patternFill patternType="solid">
        <x:fgColor rgb="FF16324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BEFE6"/>
        </x:patternFill>
      </x:fill>
    </x:dxf>
    <x:dxf>
      <x:font>
        <x:b/>
      </x:font>
      <x:fill>
        <x:patternFill patternType="solid">
          <x:bgColor rgb="FFE2EEF8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6ccfe082848a2" /><Relationship Type="http://schemas.openxmlformats.org/officeDocument/2006/relationships/theme" Target="/xl/theme/theme1.xml" Id="Rb91cd25f8c364979" /><Relationship Type="http://schemas.openxmlformats.org/officeDocument/2006/relationships/sharedStrings" Target="/xl/sharedStrings.xml" Id="Rabd4697abcdb4954" /><Relationship Type="http://schemas.openxmlformats.org/officeDocument/2006/relationships/worksheet" Target="/xl/worksheets/sheet1.xml" Id="Rfd4f1a531484419e" /><Relationship Type="http://schemas.openxmlformats.org/officeDocument/2006/relationships/worksheet" Target="/xl/worksheets/sheet2.xml" Id="Rf997f8d84d95469f" /><Relationship Type="http://schemas.openxmlformats.org/officeDocument/2006/relationships/worksheet" Target="/xl/worksheets/sheet3.xml" Id="R5e941f0fe2e64667" /><Relationship Type="http://schemas.openxmlformats.org/officeDocument/2006/relationships/worksheet" Target="/xl/worksheets/sheet4.xml" Id="Rb18b004c3ea04503" /></Relationships>
</file>

<file path=xl/tables/table1.xml><?xml version="1.0" encoding="utf-8"?>
<x:table xmlns:x="http://schemas.openxmlformats.org/spreadsheetml/2006/main" id="1" name="DatasetCatalog" displayName="DatasetCatalog" ref="A4:X102" headerRowCount="1" totalsRowCount="0" totalsRowShown="0">
  <x:tableColumns count="24">
    <x:tableColumn id="1" name="Dataset Id"/>
    <x:tableColumn id="2" name="City"/>
    <x:tableColumn id="3" name="State"/>
    <x:tableColumn id="4" name="Dataset Title"/>
    <x:tableColumn id="5" name="Topic"/>
    <x:tableColumn id="6" name="Formats"/>
    <x:tableColumn id="7" name="Access Tier"/>
    <x:tableColumn id="8" name="Landing Url"/>
    <x:tableColumn id="9" name="Download Url"/>
    <x:tableColumn id="10" name="Api Url"/>
    <x:tableColumn id="11" name="Access Method"/>
    <x:tableColumn id="12" name="Series Status"/>
    <x:tableColumn id="13" name="Geographic Coverage"/>
    <x:tableColumn id="14" name="Notes"/>
    <x:tableColumn id="15" name="Platform"/>
    <x:tableColumn id="16" name="Scope"/>
    <x:tableColumn id="17" name="Endpoint Provenance"/>
    <x:tableColumn id="18" name="Format Evidence"/>
    <x:tableColumn id="19" name="Evidence"/>
    <x:tableColumn id="20" name="Auth Notes"/>
    <x:tableColumn id="21" name="License Notes"/>
    <x:tableColumn id="22" name="Source Url"/>
    <x:tableColumn id="23" name="Checked Date"/>
    <x:tableColumn id="24" name="Download Tes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Catalog" displayName="CityCatalog" ref="A4:M64" headerRowCount="1" totalsRowCount="0" totalsRowShown="0">
  <x:tableColumns count="13">
    <x:tableColumn id="1" name="City"/>
    <x:tableColumn id="2" name="State"/>
    <x:tableColumn id="3" name="Scope"/>
    <x:tableColumn id="4" name="Dataset Count"/>
    <x:tableColumn id="5" name="Published Url Count"/>
    <x:tableColumn id="6" name="Constructed Url Count"/>
    <x:tableColumn id="7" name="Export Page Count"/>
    <x:tableColumn id="8" name="Platform"/>
    <x:tableColumn id="9" name="Portal Url"/>
    <x:tableColumn id="10" name="Notes"/>
    <x:tableColumn id="11" name="Source Url"/>
    <x:tableColumn id="12" name="Scope Source Url"/>
    <x:tableColumn id="13" name="Checked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ssGuideTable" displayName="AccessGuideTable" ref="A4:E14" headerRowCount="1" totalsRowCount="0" totalsRowShown="0">
  <x:tableColumns count="5">
    <x:tableColumn id="1" name="System"/>
    <x:tableColumn id="2" name="Format Or Path"/>
    <x:tableColumn id="3" name="What It Means"/>
    <x:tableColumn id="4" name="How To Use"/>
    <x:tableColumn id="5" name="Referen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d116b1928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073aef4df849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9b720bd1eb4ba8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18" t="str">
        <x:v>U.S. CITY OPEN DATA CATALOG</x:v>
      </x:c>
      <x:c r="B1" s="18"/>
      <x:c r="C1" s="18"/>
      <x:c r="D1" s="18"/>
      <x:c r="E1" s="18"/>
      <x:c r="F1" s="18"/>
      <x:c r="G1" s="18"/>
      <x:c r="H1" s="18"/>
    </x:row>
    <x:row r="2" ht="23" customHeight="1">
      <x:c r="A2" s="18"/>
      <x:c r="B2" s="18"/>
      <x:c r="C2" s="18"/>
      <x:c r="D2" s="18"/>
      <x:c r="E2" s="18"/>
      <x:c r="F2" s="18"/>
      <x:c r="G2" s="18"/>
      <x:c r="H2" s="18"/>
    </x:row>
    <x:row r="3" ht="26" customHeight="1">
      <x:c r="A3" s="24" t="str">
        <x:v>Research date: 2026-10-07  |  Curated municipal data sources, not an exhaustive inventory</x:v>
      </x:c>
      <x:c r="B3" s="24"/>
      <x:c r="C3" s="24"/>
      <x:c r="D3" s="24"/>
      <x:c r="E3" s="24"/>
      <x:c r="F3" s="24"/>
      <x:c r="G3" s="24"/>
      <x:c r="H3" s="24"/>
    </x:row>
    <x:row r="4">
      <x:c r="A4" s="4"/>
      <x:c r="B4" s="4"/>
      <x:c r="C4" s="4"/>
      <x:c r="D4" s="4"/>
      <x:c r="E4" s="4"/>
      <x:c r="F4" s="4"/>
      <x:c r="G4" s="4"/>
      <x:c r="H4" s="4"/>
    </x:row>
    <x:row r="5" ht="24" customHeight="1">
      <x:c r="A5" s="26" t="str">
        <x:v>CITIES</x:v>
      </x:c>
      <x:c r="B5" s="26"/>
      <x:c r="C5" s="26" t="str">
        <x:v>DATASETS</x:v>
      </x:c>
      <x:c r="D5" s="26"/>
      <x:c r="E5" s="26" t="str">
        <x:v>FILE / API LINKS</x:v>
      </x:c>
      <x:c r="F5" s="26"/>
      <x:c r="G5" s="26" t="str">
        <x:v>EXPORT SELECTION</x:v>
      </x:c>
      <x:c r="H5" s="26"/>
    </x:row>
    <x:row r="6">
      <x:c r="A6" s="30" t="n">
        <x:f>COUNTA(Cities!A5:A64)</x:f>
        <x:v>60</x:v>
      </x:c>
      <x:c r="B6" s="30"/>
      <x:c r="C6" s="30" t="n">
        <x:f>COUNTA(Datasets!A5:A102)</x:f>
        <x:v>98</x:v>
      </x:c>
      <x:c r="D6" s="30"/>
      <x:c r="E6" s="30" t="n">
        <x:f>COUNTIF(Datasets!G5:G102,"A")+COUNTIF(Datasets!G5:G102,"B")</x:f>
        <x:v>40</x:v>
      </x:c>
      <x:c r="F6" s="30"/>
      <x:c r="G6" s="30" t="n">
        <x:f>COUNTIF(Datasets!G5:G102,"C")</x:f>
        <x:v>58</x:v>
      </x:c>
      <x:c r="H6" s="30"/>
    </x:row>
    <x:row r="7">
      <x:c r="A7" s="30"/>
      <x:c r="B7" s="30"/>
      <x:c r="C7" s="30"/>
      <x:c r="D7" s="30"/>
      <x:c r="E7" s="30"/>
      <x:c r="F7" s="30"/>
      <x:c r="G7" s="30"/>
      <x:c r="H7" s="30"/>
    </x:row>
    <x:row r="8">
      <x:c r="A8" s="30"/>
      <x:c r="B8" s="30"/>
      <x:c r="C8" s="30"/>
      <x:c r="D8" s="30"/>
      <x:c r="E8" s="30"/>
      <x:c r="F8" s="30"/>
      <x:c r="G8" s="30"/>
      <x:c r="H8" s="30"/>
    </x:row>
    <x:row r="9">
      <x:c r="A9" s="4"/>
      <x:c r="B9" s="4"/>
      <x:c r="C9" s="4"/>
      <x:c r="D9" s="4"/>
      <x:c r="E9" s="4"/>
      <x:c r="F9" s="4"/>
      <x:c r="G9" s="4"/>
      <x:c r="H9" s="4"/>
    </x:row>
    <x:row r="10" ht="32" customHeight="1">
      <x:c r="A10" s="18" t="str">
        <x:v>ACCESS PATHS</x:v>
      </x:c>
      <x:c r="B10" s="18"/>
      <x:c r="C10" s="18"/>
      <x:c r="D10" s="18"/>
      <x:c r="E10" s="18"/>
      <x:c r="F10" s="18"/>
      <x:c r="G10" s="18"/>
      <x:c r="H10" s="18"/>
    </x:row>
    <x:row r="11" ht="33" customHeight="1">
      <x:c r="A11" s="4" t="str">
        <x:v>Tier A</x:v>
      </x:c>
      <x:c r="B11" s="4" t="n">
        <x:f>COUNTIF(Datasets!G5:G102,"A")</x:f>
        <x:v>16</x:v>
      </x:c>
      <x:c r="C11" s="4" t="str">
        <x:v>Published file URL or resolved layer API. Metadata evidence; not a payload test.</x:v>
      </x:c>
      <x:c r="D11" s="4"/>
      <x:c r="E11" s="4"/>
      <x:c r="F11" s="4"/>
      <x:c r="G11" s="4"/>
      <x:c r="H11" s="4"/>
    </x:row>
    <x:row r="12" ht="33" customHeight="1">
      <x:c r="A12" s="4" t="str">
        <x:v>Tier B</x:v>
      </x:c>
      <x:c r="B12" s="4" t="n">
        <x:f>COUNTIF(Datasets!G5:G102,"B")</x:f>
        <x:v>24</x:v>
      </x:c>
      <x:c r="C12" s="4" t="str">
        <x:v>Standard platform export/API URL constructed from an identified dataset ID.</x:v>
      </x:c>
      <x:c r="D12" s="4"/>
      <x:c r="E12" s="4"/>
      <x:c r="F12" s="4"/>
      <x:c r="G12" s="4"/>
      <x:c r="H12" s="4"/>
    </x:row>
    <x:row r="13" ht="33" customHeight="1">
      <x:c r="A13" s="4" t="str">
        <x:v>Tier C</x:v>
      </x:c>
      <x:c r="B13" s="4" t="n">
        <x:f>COUNTIF(Datasets!G5:G102,"C")</x:f>
        <x:v>58</x:v>
      </x:c>
      <x:c r="C13" s="4" t="str">
        <x:v>Named dataset page. Choose the CSV resource, export control or layer API.</x:v>
      </x:c>
      <x:c r="D13" s="4"/>
      <x:c r="E13" s="4"/>
      <x:c r="F13" s="4"/>
      <x:c r="G13" s="4"/>
      <x:c r="H13" s="4"/>
    </x:row>
    <x:row r="14">
      <x:c r="A14" s="4"/>
      <x:c r="B14" s="4"/>
      <x:c r="C14" s="4"/>
      <x:c r="D14" s="4"/>
      <x:c r="E14" s="4"/>
      <x:c r="F14" s="4"/>
      <x:c r="G14" s="4"/>
      <x:c r="H14" s="4"/>
    </x:row>
    <x:row r="15" ht="32" customHeight="1">
      <x:c r="A15" s="18" t="str">
        <x:v>HOW TO USE THE WORKBOOK</x:v>
      </x:c>
      <x:c r="B15" s="18"/>
      <x:c r="C15" s="18"/>
      <x:c r="D15" s="18"/>
      <x:c r="E15" s="18"/>
      <x:c r="F15" s="18"/>
      <x:c r="G15" s="18"/>
      <x:c r="H15" s="18"/>
    </x:row>
    <x:row r="16" ht="23" customHeight="1">
      <x:c r="A16" s="34" t="str">
        <x:v>Start on Datasets and filter by City, Topic, Formats or Access Tier. Use Download URL for file links and Landing URL for publisher context. API URL may identify a data layer or a CKAN metadata endpoint; read Access Method before treating it as row data. Cities lists every included portal. Access guide explains pagination and API differences.</x:v>
      </x:c>
      <x:c r="B16" s="34"/>
      <x:c r="C16" s="34"/>
      <x:c r="D16" s="34"/>
      <x:c r="E16" s="34"/>
      <x:c r="F16" s="34"/>
      <x:c r="G16" s="34"/>
      <x:c r="H16" s="34"/>
    </x:row>
    <x:row r="17" ht="23" customHeight="1">
      <x:c r="A17" s="34"/>
      <x:c r="B17" s="34"/>
      <x:c r="C17" s="34"/>
      <x:c r="D17" s="34"/>
      <x:c r="E17" s="34"/>
      <x:c r="F17" s="34"/>
      <x:c r="G17" s="34"/>
      <x:c r="H17" s="34"/>
    </x:row>
    <x:row r="18" ht="23" customHeight="1">
      <x:c r="A18" s="34"/>
      <x:c r="B18" s="34"/>
      <x:c r="C18" s="34"/>
      <x:c r="D18" s="34"/>
      <x:c r="E18" s="34"/>
      <x:c r="F18" s="34"/>
      <x:c r="G18" s="34"/>
      <x:c r="H18" s="34"/>
    </x:row>
    <x:row r="19">
      <x:c r="A19" s="4"/>
      <x:c r="B19" s="4"/>
      <x:c r="C19" s="4"/>
      <x:c r="D19" s="4"/>
      <x:c r="E19" s="4"/>
      <x:c r="F19" s="4"/>
      <x:c r="G19" s="4"/>
      <x:c r="H19" s="4"/>
    </x:row>
    <x:row r="20" ht="32" customHeight="1">
      <x:c r="A20" s="18" t="str">
        <x:v>VERIFICATION LIMIT</x:v>
      </x:c>
      <x:c r="B20" s="18"/>
      <x:c r="C20" s="18"/>
      <x:c r="D20" s="18"/>
      <x:c r="E20" s="18"/>
      <x:c r="F20" s="18"/>
      <x:c r="G20" s="18"/>
      <x:c r="H20" s="18"/>
    </x:row>
    <x:row r="21" ht="22" customHeight="1">
      <x:c r="A21" s="37" t="str">
        <x:v>Publisher listings and indexed format metadata were reviewed. No underlying dataset payload was downloaded, parsed or schema-validated. All Download Tested values are No. Constructed endpoints and export-page-only entries are explicitly distinguished. ArcGIS CSV/GeoJSON availability is conditional. Check HTTP status, content type, coverage, completeness and license before automating. The research date is not the source dataset's last update date.</x:v>
      </x:c>
      <x:c r="B21" s="37"/>
      <x:c r="C21" s="37"/>
      <x:c r="D21" s="37"/>
      <x:c r="E21" s="37"/>
      <x:c r="F21" s="37"/>
      <x:c r="G21" s="37"/>
      <x:c r="H21" s="37"/>
    </x:row>
    <x:row r="22" ht="22" customHeight="1">
      <x:c r="A22" s="37"/>
      <x:c r="B22" s="37"/>
      <x:c r="C22" s="37"/>
      <x:c r="D22" s="37"/>
      <x:c r="E22" s="37"/>
      <x:c r="F22" s="37"/>
      <x:c r="G22" s="37"/>
      <x:c r="H22" s="37"/>
    </x:row>
    <x:row r="23" ht="22" customHeight="1">
      <x:c r="A23" s="37"/>
      <x:c r="B23" s="37"/>
      <x:c r="C23" s="37"/>
      <x:c r="D23" s="37"/>
      <x:c r="E23" s="37"/>
      <x:c r="F23" s="37"/>
      <x:c r="G23" s="37"/>
      <x:c r="H23" s="37"/>
    </x:row>
    <x:row r="24" ht="22" customHeight="1">
      <x:c r="A24" s="37"/>
      <x:c r="B24" s="37"/>
      <x:c r="C24" s="37"/>
      <x:c r="D24" s="37"/>
      <x:c r="E24" s="37"/>
      <x:c r="F24" s="37"/>
      <x:c r="G24" s="37"/>
      <x:c r="H24" s="37"/>
    </x:row>
    <x:row r="25">
      <x:c r="A25" s="4"/>
      <x:c r="B25" s="4"/>
      <x:c r="C25" s="4"/>
      <x:c r="D25" s="4"/>
      <x:c r="E25" s="4"/>
      <x:c r="F25" s="4"/>
      <x:c r="G25" s="4"/>
      <x:c r="H25" s="4"/>
    </x:row>
    <x:row r="26" ht="32" customHeight="1">
      <x:c r="A26" s="18" t="str">
        <x:v>SCOPE</x:v>
      </x:c>
      <x:c r="B26" s="18"/>
      <x:c r="C26" s="18"/>
      <x:c r="D26" s="18"/>
      <x:c r="E26" s="18"/>
      <x:c r="F26" s="18"/>
      <x:c r="G26" s="18"/>
      <x:c r="H26" s="18"/>
    </x:row>
    <x:row r="27" ht="20" customHeight="1">
      <x:c r="A27" s="34" t="str">
        <x:v>50 core city-proper entries using 2025 population estimates, plus: Pittsburgh, Cincinnati, Buffalo, New Orleans, Honolulu, Orlando, Cleveland, St. Louis, Salt Lake City, Richmond. Some sources cover counties or transit service areas. The geographic coverage and historical-series notes belong with the data when it is reused.</x:v>
      </x:c>
      <x:c r="B27" s="34"/>
      <x:c r="C27" s="34"/>
      <x:c r="D27" s="34"/>
      <x:c r="E27" s="34"/>
      <x:c r="F27" s="34"/>
      <x:c r="G27" s="34"/>
      <x:c r="H27" s="34"/>
    </x:row>
    <x:row r="28" ht="20" customHeight="1">
      <x:c r="A28" s="34"/>
      <x:c r="B28" s="34"/>
      <x:c r="C28" s="34"/>
      <x:c r="D28" s="34"/>
      <x:c r="E28" s="34"/>
      <x:c r="F28" s="34"/>
      <x:c r="G28" s="34"/>
      <x:c r="H28" s="34"/>
    </x:row>
    <x:row r="29" ht="20" customHeight="1">
      <x:c r="A29" s="34"/>
      <x:c r="B29" s="34"/>
      <x:c r="C29" s="34"/>
      <x:c r="D29" s="34"/>
      <x:c r="E29" s="34"/>
      <x:c r="F29" s="34"/>
      <x:c r="G29" s="34"/>
      <x:c r="H29" s="34"/>
    </x:row>
    <x:row r="30" ht="20" customHeight="1">
      <x:c r="A30" s="34"/>
      <x:c r="B30" s="34"/>
      <x:c r="C30" s="34"/>
      <x:c r="D30" s="34"/>
      <x:c r="E30" s="34"/>
      <x:c r="F30" s="34"/>
      <x:c r="G30" s="34"/>
      <x:c r="H30" s="34"/>
    </x:row>
    <x:row r="31">
      <x:c r="A31" s="4"/>
      <x:c r="B31" s="4"/>
      <x:c r="C31" s="4"/>
      <x:c r="D31" s="4"/>
      <x:c r="E31" s="4"/>
      <x:c r="F31" s="4"/>
      <x:c r="G31" s="4"/>
      <x:c r="H31" s="4"/>
    </x:row>
    <x:row r="32" ht="32" customHeight="1">
      <x:c r="A32" s="18" t="str">
        <x:v>SCOPE SOURCES AND FILES</x:v>
      </x:c>
      <x:c r="B32" s="18"/>
      <x:c r="C32" s="18"/>
      <x:c r="D32" s="18"/>
      <x:c r="E32" s="18"/>
      <x:c r="F32" s="18"/>
      <x:c r="G32" s="18"/>
      <x:c r="H32" s="18"/>
    </x:row>
    <x:row r="33" ht="20" customHeight="1">
      <x:c r="A33" s="4" t="str">
        <x:v>https://www.census.gov/data/tables/time-series/demo/popest/2020s-total-cities-and-towns.html</x:v>
      </x:c>
      <x:c r="B33" s="4"/>
      <x:c r="C33" s="4"/>
      <x:c r="D33" s="4"/>
      <x:c r="E33" s="4"/>
      <x:c r="F33" s="4"/>
      <x:c r="G33" s="4"/>
      <x:c r="H33" s="4"/>
    </x:row>
    <x:row r="34" ht="20" customHeight="1">
      <x:c r="A34" s="4"/>
      <x:c r="B34" s="4"/>
      <x:c r="C34" s="4"/>
      <x:c r="D34" s="4"/>
      <x:c r="E34" s="4"/>
      <x:c r="F34" s="4"/>
      <x:c r="G34" s="4"/>
      <x:c r="H34" s="4"/>
    </x:row>
    <x:row r="35" ht="20" customHeight="1">
      <x:c r="A35" s="4" t="str">
        <x:v>https://en.wikipedia.org/wiki/List_of_United_States_cities_by_population</x:v>
      </x:c>
      <x:c r="B35" s="4"/>
      <x:c r="C35" s="4"/>
      <x:c r="D35" s="4"/>
      <x:c r="E35" s="4"/>
      <x:c r="F35" s="4"/>
      <x:c r="G35" s="4"/>
      <x:c r="H35" s="4"/>
    </x:row>
    <x:row r="36" ht="20" customHeight="1">
      <x:c r="A36" s="4"/>
      <x:c r="B36" s="4"/>
      <x:c r="C36" s="4"/>
      <x:c r="D36" s="4"/>
      <x:c r="E36" s="4"/>
      <x:c r="F36" s="4"/>
      <x:c r="G36" s="4"/>
      <x:c r="H36" s="4"/>
    </x:row>
    <x:row r="37" ht="20" customHeight="1">
      <x:c r="A37" s="4"/>
      <x:c r="B37" s="4"/>
      <x:c r="C37" s="4"/>
      <x:c r="D37" s="4"/>
      <x:c r="E37" s="4"/>
      <x:c r="F37" s="4"/>
      <x:c r="G37" s="4"/>
      <x:c r="H37" s="4"/>
    </x:row>
    <x:row r="38" ht="20" customHeight="1">
      <x:c r="A38" s="4" t="str">
        <x:v>Companion files: dataset CSV, city CSV, file/API subset CSV, structured JSON and README.</x:v>
      </x:c>
      <x:c r="B38" s="4"/>
      <x:c r="C38" s="4"/>
      <x:c r="D38" s="4"/>
      <x:c r="E38" s="4"/>
      <x:c r="F38" s="4"/>
      <x:c r="G38" s="4"/>
      <x:c r="H38" s="4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C11:H11"/>
    <x:mergeCell ref="C12:H12"/>
    <x:mergeCell ref="C13:H13"/>
    <x:mergeCell ref="A15:H15"/>
    <x:mergeCell ref="A16:H18"/>
    <x:mergeCell ref="A20:H20"/>
    <x:mergeCell ref="A21:H24"/>
    <x:mergeCell ref="A26:H26"/>
    <x:mergeCell ref="A27:H30"/>
    <x:mergeCell ref="A32:H32"/>
    <x:mergeCell ref="A33:H34"/>
    <x:mergeCell ref="A35:H36"/>
    <x:mergeCell ref="A38:H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9" hidden="0" customWidth="1"/>
    <x:col min="3" max="3" width="8" hidden="0" customWidth="1"/>
    <x:col min="4" max="4" width="39" hidden="0" customWidth="1"/>
    <x:col min="5" max="5" width="23" hidden="0" customWidth="1"/>
    <x:col min="6" max="6" width="29" hidden="0" customWidth="1"/>
    <x:col min="7" max="7" width="9" hidden="0" customWidth="1"/>
    <x:col min="8" max="8" width="38" hidden="0" customWidth="1"/>
    <x:col min="9" max="9" width="38" hidden="0" customWidth="1"/>
    <x:col min="10" max="10" width="38" hidden="0" customWidth="1"/>
    <x:col min="11" max="11" width="32" hidden="0" customWidth="1"/>
    <x:col min="12" max="12" width="34" hidden="0" customWidth="1"/>
    <x:col min="13" max="13" width="30" hidden="0" customWidth="1"/>
    <x:col min="14" max="14" width="40" hidden="0" customWidth="1"/>
    <x:col min="15" max="15" width="20" hidden="0" customWidth="1"/>
    <x:col min="16" max="16" width="24" hidden="0" customWidth="1"/>
    <x:col min="17" max="17" width="36" hidden="0" customWidth="1"/>
    <x:col min="18" max="18" width="36" hidden="0" customWidth="1"/>
    <x:col min="19" max="19" width="34" hidden="0" customWidth="1"/>
    <x:col min="20" max="20" width="38" hidden="0" customWidth="1"/>
    <x:col min="21" max="21" width="35" hidden="0" customWidth="1"/>
    <x:col min="22" max="22" width="38" hidden="0" customWidth="1"/>
    <x:col min="23" max="23" width="14" hidden="0" customWidth="1"/>
    <x:col min="24" max="24" width="13" hidden="0" customWidth="1"/>
  </x:cols>
  <x:sheetData>
    <x:row r="1" ht="28" customHeight="1">
      <x:c r="A1" s="9" t="str">
        <x:v>U.S. city open datasets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</x:row>
    <x:row r="2" ht="24" customHeight="1">
      <x:c r="A2" s="13" t="str">
        <x:v>Filter Access Tier: A = published URL; B = constructed endpoint; C = select a resource/export. All raw payloads remain untested.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32" customHeight="1">
      <x:c r="A4" s="18" t="str">
        <x:v>Dataset Id</x:v>
      </x:c>
      <x:c r="B4" s="18" t="str">
        <x:v>City</x:v>
      </x:c>
      <x:c r="C4" s="18" t="str">
        <x:v>State</x:v>
      </x:c>
      <x:c r="D4" s="18" t="str">
        <x:v>Dataset Title</x:v>
      </x:c>
      <x:c r="E4" s="18" t="str">
        <x:v>Topic</x:v>
      </x:c>
      <x:c r="F4" s="18" t="str">
        <x:v>Formats</x:v>
      </x:c>
      <x:c r="G4" s="18" t="str">
        <x:v>Access Tier</x:v>
      </x:c>
      <x:c r="H4" s="18" t="str">
        <x:v>Landing Url</x:v>
      </x:c>
      <x:c r="I4" s="18" t="str">
        <x:v>Download Url</x:v>
      </x:c>
      <x:c r="J4" s="18" t="str">
        <x:v>Api Url</x:v>
      </x:c>
      <x:c r="K4" s="18" t="str">
        <x:v>Access Method</x:v>
      </x:c>
      <x:c r="L4" s="18" t="str">
        <x:v>Series Status</x:v>
      </x:c>
      <x:c r="M4" s="18" t="str">
        <x:v>Geographic Coverage</x:v>
      </x:c>
      <x:c r="N4" s="18" t="str">
        <x:v>Notes</x:v>
      </x:c>
      <x:c r="O4" s="18" t="str">
        <x:v>Platform</x:v>
      </x:c>
      <x:c r="P4" s="18" t="str">
        <x:v>Scope</x:v>
      </x:c>
      <x:c r="Q4" s="18" t="str">
        <x:v>Endpoint Provenance</x:v>
      </x:c>
      <x:c r="R4" s="18" t="str">
        <x:v>Format Evidence</x:v>
      </x:c>
      <x:c r="S4" s="18" t="str">
        <x:v>Evidence</x:v>
      </x:c>
      <x:c r="T4" s="18" t="str">
        <x:v>Auth Notes</x:v>
      </x:c>
      <x:c r="U4" s="18" t="str">
        <x:v>License Notes</x:v>
      </x:c>
      <x:c r="V4" s="18" t="str">
        <x:v>Source Url</x:v>
      </x:c>
      <x:c r="W4" s="18" t="str">
        <x:v>Checked Date</x:v>
      </x:c>
      <x:c r="X4" s="18" t="str">
        <x:v>Download Tested</x:v>
      </x:c>
    </x:row>
    <x:row r="5" ht="80" customHeight="1">
      <x:c r="A5" s="4" t="str">
        <x:v>US0001</x:v>
      </x:c>
      <x:c r="B5" s="4" t="str">
        <x:v>New York</x:v>
      </x:c>
      <x:c r="C5" s="4" t="str">
        <x:v>NY</x:v>
      </x:c>
      <x:c r="D5" s="4" t="str">
        <x:v>311 Service Requests from 2020 to Present</x:v>
      </x:c>
      <x:c r="E5" s="4" t="str">
        <x:v>311 / service requests</x:v>
      </x:c>
      <x:c r="F5" s="4" t="str">
        <x:v>CSV; JSON</x:v>
      </x:c>
      <x:c r="G5" s="4" t="str">
        <x:v>B</x:v>
      </x:c>
      <x:c r="H5" s="22" t="str">
        <x:v>https://data.cityofnewyork.us/d/erm2-nwe9</x:v>
      </x:c>
      <x:c r="I5" s="22" t="str">
        <x:v>https://data.cityofnewyork.us/api/views/erm2-nwe9/rows.csv?accessType=DOWNLOAD</x:v>
      </x:c>
      <x:c r="J5" s="22" t="str">
        <x:v>https://data.cityofnewyork.us/resource/erm2-nwe9.json</x:v>
      </x:c>
      <x:c r="K5" s="4" t="str">
        <x:v>Socrata bulk export / API</x:v>
      </x:c>
      <x:c r="L5" s="4" t="str">
        <x:v>Ongoing series</x:v>
      </x:c>
      <x:c r="M5" s="4" t="str">
        <x:v>New York</x:v>
      </x:c>
      <x:c r="N5" s="4" t="str"/>
      <x:c r="O5" s="4" t="str">
        <x:v>Socrata</x:v>
      </x:c>
      <x:c r="P5" s="4" t="str">
        <x:v>Top 50 city proper</x:v>
      </x:c>
      <x:c r="Q5" s="4" t="str">
        <x:v>Standard Socrata endpoint constructed from identified dataset ID</x:v>
      </x:c>
      <x:c r="R5" s="4" t="str">
        <x:v>Identified dataset ID plus standard platform export/API format</x:v>
      </x:c>
      <x:c r="S5" s="4" t="str">
        <x:v>Publisher dataset page</x:v>
      </x:c>
      <x:c r="T5" s="4" t="str">
        <x:v>Public dataset; legacy and SODA3 access rules differ. SODA3 API queries require an app token or user authentication. Confirm export access on the dataset page.</x:v>
      </x:c>
      <x:c r="U5" s="4" t="str">
        <x:v>Review the individual publisher's license and attribution terms before reuse.</x:v>
      </x:c>
      <x:c r="V5" s="22" t="str">
        <x:v>https://data.cityofnewyork.us/d/erm2-nwe9</x:v>
      </x:c>
      <x:c r="W5" s="4" t="str">
        <x:v>2026-10-07</x:v>
      </x:c>
      <x:c r="X5" s="4" t="str">
        <x:v>No</x:v>
      </x:c>
    </x:row>
    <x:row r="6" ht="80" customHeight="1">
      <x:c r="A6" s="4" t="str">
        <x:v>US0002</x:v>
      </x:c>
      <x:c r="B6" s="4" t="str">
        <x:v>New York</x:v>
      </x:c>
      <x:c r="C6" s="4" t="str">
        <x:v>NY</x:v>
      </x:c>
      <x:c r="D6" s="4" t="str">
        <x:v>Motor Vehicle Collisions - Crashes</x:v>
      </x:c>
      <x:c r="E6" s="4" t="str">
        <x:v>Transport / safety</x:v>
      </x:c>
      <x:c r="F6" s="4" t="str">
        <x:v>CSV; JSON</x:v>
      </x:c>
      <x:c r="G6" s="4" t="str">
        <x:v>B</x:v>
      </x:c>
      <x:c r="H6" s="22" t="str">
        <x:v>https://data.cityofnewyork.us/d/h9gi-nx95</x:v>
      </x:c>
      <x:c r="I6" s="22" t="str">
        <x:v>https://data.cityofnewyork.us/api/views/h9gi-nx95/rows.csv?accessType=DOWNLOAD</x:v>
      </x:c>
      <x:c r="J6" s="22" t="str">
        <x:v>https://data.cityofnewyork.us/resource/h9gi-nx95.json</x:v>
      </x:c>
      <x:c r="K6" s="4" t="str">
        <x:v>Socrata bulk export / API</x:v>
      </x:c>
      <x:c r="L6" s="4" t="str">
        <x:v>Ongoing series</x:v>
      </x:c>
      <x:c r="M6" s="4" t="str">
        <x:v>New York</x:v>
      </x:c>
      <x:c r="N6" s="4" t="str"/>
      <x:c r="O6" s="4" t="str">
        <x:v>Socrata</x:v>
      </x:c>
      <x:c r="P6" s="4" t="str">
        <x:v>Top 50 city proper</x:v>
      </x:c>
      <x:c r="Q6" s="4" t="str">
        <x:v>Standard Socrata endpoint constructed from identified dataset ID</x:v>
      </x:c>
      <x:c r="R6" s="4" t="str">
        <x:v>Identified dataset ID plus standard platform export/API format</x:v>
      </x:c>
      <x:c r="S6" s="4" t="str">
        <x:v>Publisher dataset page</x:v>
      </x:c>
      <x:c r="T6" s="4" t="str">
        <x:v>Public dataset; legacy and SODA3 access rules differ. SODA3 API queries require an app token or user authentication. Confirm export access on the dataset page.</x:v>
      </x:c>
      <x:c r="U6" s="4" t="str">
        <x:v>Review the individual publisher's license and attribution terms before reuse.</x:v>
      </x:c>
      <x:c r="V6" s="22" t="str">
        <x:v>https://data.cityofnewyork.us/d/h9gi-nx95</x:v>
      </x:c>
      <x:c r="W6" s="4" t="str">
        <x:v>2026-10-07</x:v>
      </x:c>
      <x:c r="X6" s="4" t="str">
        <x:v>No</x:v>
      </x:c>
    </x:row>
    <x:row r="7" ht="80" customHeight="1">
      <x:c r="A7" s="4" t="str">
        <x:v>US0003</x:v>
      </x:c>
      <x:c r="B7" s="4" t="str">
        <x:v>New York</x:v>
      </x:c>
      <x:c r="C7" s="4" t="str">
        <x:v>NY</x:v>
      </x:c>
      <x:c r="D7" s="4" t="str">
        <x:v>DOHMH Restaurant Inspection Results</x:v>
      </x:c>
      <x:c r="E7" s="4" t="str">
        <x:v>Health / inspections</x:v>
      </x:c>
      <x:c r="F7" s="4" t="str">
        <x:v>CSV; JSON</x:v>
      </x:c>
      <x:c r="G7" s="4" t="str">
        <x:v>B</x:v>
      </x:c>
      <x:c r="H7" s="22" t="str">
        <x:v>https://data.cityofnewyork.us/d/43nn-pn8j</x:v>
      </x:c>
      <x:c r="I7" s="22" t="str">
        <x:v>https://data.cityofnewyork.us/api/views/43nn-pn8j/rows.csv?accessType=DOWNLOAD</x:v>
      </x:c>
      <x:c r="J7" s="22" t="str">
        <x:v>https://data.cityofnewyork.us/resource/43nn-pn8j.json</x:v>
      </x:c>
      <x:c r="K7" s="4" t="str">
        <x:v>Socrata bulk export / API</x:v>
      </x:c>
      <x:c r="L7" s="4" t="str">
        <x:v>Ongoing series</x:v>
      </x:c>
      <x:c r="M7" s="4" t="str">
        <x:v>New York</x:v>
      </x:c>
      <x:c r="N7" s="4" t="str"/>
      <x:c r="O7" s="4" t="str">
        <x:v>Socrata</x:v>
      </x:c>
      <x:c r="P7" s="4" t="str">
        <x:v>Top 50 city proper</x:v>
      </x:c>
      <x:c r="Q7" s="4" t="str">
        <x:v>Standard Socrata endpoint constructed from identified dataset ID</x:v>
      </x:c>
      <x:c r="R7" s="4" t="str">
        <x:v>Identified dataset ID plus standard platform export/API format</x:v>
      </x:c>
      <x:c r="S7" s="4" t="str">
        <x:v>Publisher dataset page</x:v>
      </x:c>
      <x:c r="T7" s="4" t="str">
        <x:v>Public dataset; legacy and SODA3 access rules differ. SODA3 API queries require an app token or user authentication. Confirm export access on the dataset page.</x:v>
      </x:c>
      <x:c r="U7" s="4" t="str">
        <x:v>Review the individual publisher's license and attribution terms before reuse.</x:v>
      </x:c>
      <x:c r="V7" s="22" t="str">
        <x:v>https://data.cityofnewyork.us/d/43nn-pn8j</x:v>
      </x:c>
      <x:c r="W7" s="4" t="str">
        <x:v>2026-10-07</x:v>
      </x:c>
      <x:c r="X7" s="4" t="str">
        <x:v>No</x:v>
      </x:c>
    </x:row>
    <x:row r="8" ht="80" customHeight="1">
      <x:c r="A8" s="4" t="str">
        <x:v>US0004</x:v>
      </x:c>
      <x:c r="B8" s="4" t="str">
        <x:v>Los Angeles</x:v>
      </x:c>
      <x:c r="C8" s="4" t="str">
        <x:v>CA</x:v>
      </x:c>
      <x:c r="D8" s="4" t="str">
        <x:v>Building Permits Issued from 2020 to Present</x:v>
      </x:c>
      <x:c r="E8" s="4" t="str">
        <x:v>Buildings / permits</x:v>
      </x:c>
      <x:c r="F8" s="4" t="str">
        <x:v>CSV; JSON</x:v>
      </x:c>
      <x:c r="G8" s="4" t="str">
        <x:v>A</x:v>
      </x:c>
      <x:c r="H8" s="22" t="str">
        <x:v>https://data.lacity.org/d/pi9x-tg5x</x:v>
      </x:c>
      <x:c r="I8" s="22" t="str">
        <x:v>https://data.lacity.org/api/v3/views/pi9x-tg5x/export.csv?accessType=DOWNLOAD</x:v>
      </x:c>
      <x:c r="J8" s="22" t="str">
        <x:v>https://data.lacity.org/api/v3/views/pi9x-tg5x/query.json?accessType=DOWNLOAD</x:v>
      </x:c>
      <x:c r="K8" s="4" t="str">
        <x:v>Socrata published export</x:v>
      </x:c>
      <x:c r="L8" s="4" t="str">
        <x:v>Ongoing series</x:v>
      </x:c>
      <x:c r="M8" s="4" t="str">
        <x:v>Los Angeles</x:v>
      </x:c>
      <x:c r="N8" s="4" t="str"/>
      <x:c r="O8" s="4" t="str">
        <x:v>Socrata</x:v>
      </x:c>
      <x:c r="P8" s="4" t="str">
        <x:v>Top 50 city proper</x:v>
      </x:c>
      <x:c r="Q8" s="4" t="str">
        <x:v>Published URL</x:v>
      </x:c>
      <x:c r="R8" s="4" t="str">
        <x:v>Published file link or explicit publisher/registry format metadata</x:v>
      </x:c>
      <x:c r="S8" s="4" t="str">
        <x:v>Official Data.gov distribution metadata</x:v>
      </x:c>
      <x:c r="T8" s="4" t="str">
        <x:v>Public dataset; legacy and SODA3 access rules differ. SODA3 API queries require an app token or user authentication. Confirm export access on the dataset page.</x:v>
      </x:c>
      <x:c r="U8" s="4" t="str">
        <x:v>Review the individual publisher's license and attribution terms before reuse.</x:v>
      </x:c>
      <x:c r="V8" s="22" t="str">
        <x:v>https://catalog.data.gov/dataset/building-and-safety-building-permits-issued-from-2020-to-present-n</x:v>
      </x:c>
      <x:c r="W8" s="4" t="str">
        <x:v>2026-10-07</x:v>
      </x:c>
      <x:c r="X8" s="4" t="str">
        <x:v>No</x:v>
      </x:c>
    </x:row>
    <x:row r="9" ht="80" customHeight="1">
      <x:c r="A9" s="4" t="str">
        <x:v>US0005</x:v>
      </x:c>
      <x:c r="B9" s="4" t="str">
        <x:v>Los Angeles</x:v>
      </x:c>
      <x:c r="C9" s="4" t="str">
        <x:v>CA</x:v>
      </x:c>
      <x:c r="D9" s="4" t="str">
        <x:v>LAPD NIBRS Offenses Dataset</x:v>
      </x:c>
      <x:c r="E9" s="4" t="str">
        <x:v>Public safety</x:v>
      </x:c>
      <x:c r="F9" s="4" t="str">
        <x:v>CSV; JSON</x:v>
      </x:c>
      <x:c r="G9" s="4" t="str">
        <x:v>A</x:v>
      </x:c>
      <x:c r="H9" s="22" t="str">
        <x:v>https://data.lacity.org/d/k7nn-b2ep</x:v>
      </x:c>
      <x:c r="I9" s="22" t="str">
        <x:v>https://data.lacity.org/api/v3/views/k7nn-b2ep/export.csv?accessType=DOWNLOAD</x:v>
      </x:c>
      <x:c r="J9" s="22" t="str">
        <x:v>https://data.lacity.org/api/v3/views/k7nn-b2ep/query.json?accessType=DOWNLOAD</x:v>
      </x:c>
      <x:c r="K9" s="4" t="str">
        <x:v>Socrata published export</x:v>
      </x:c>
      <x:c r="L9" s="4" t="str">
        <x:v>Ongoing series</x:v>
      </x:c>
      <x:c r="M9" s="4" t="str">
        <x:v>Los Angeles</x:v>
      </x:c>
      <x:c r="N9" s="4" t="str">
        <x:v>NIBRS and legacy UCR crime data are not directly comparable.</x:v>
      </x:c>
      <x:c r="O9" s="4" t="str">
        <x:v>Socrata</x:v>
      </x:c>
      <x:c r="P9" s="4" t="str">
        <x:v>Top 50 city proper</x:v>
      </x:c>
      <x:c r="Q9" s="4" t="str">
        <x:v>Published URL</x:v>
      </x:c>
      <x:c r="R9" s="4" t="str">
        <x:v>Published file link or explicit publisher/registry format metadata</x:v>
      </x:c>
      <x:c r="S9" s="4" t="str">
        <x:v>Official Data.gov distribution metadata</x:v>
      </x:c>
      <x:c r="T9" s="4" t="str">
        <x:v>Public dataset; legacy and SODA3 access rules differ. SODA3 API queries require an app token or user authentication. Confirm export access on the dataset page.</x:v>
      </x:c>
      <x:c r="U9" s="4" t="str">
        <x:v>Review the individual publisher's license and attribution terms before reuse.</x:v>
      </x:c>
      <x:c r="V9" s="22" t="str">
        <x:v>https://catalog.data.gov/dataset/lapd-nibrs-offenses-dataset-2026-to-present</x:v>
      </x:c>
      <x:c r="W9" s="4" t="str">
        <x:v>2026-10-07</x:v>
      </x:c>
      <x:c r="X9" s="4" t="str">
        <x:v>No</x:v>
      </x:c>
    </x:row>
    <x:row r="10" ht="80" customHeight="1">
      <x:c r="A10" s="4" t="str">
        <x:v>US0006</x:v>
      </x:c>
      <x:c r="B10" s="4" t="str">
        <x:v>Los Angeles</x:v>
      </x:c>
      <x:c r="C10" s="4" t="str">
        <x:v>CA</x:v>
      </x:c>
      <x:c r="D10" s="4" t="str">
        <x:v>Crime Data from 2020 to 2024</x:v>
      </x:c>
      <x:c r="E10" s="4" t="str">
        <x:v>Public safety</x:v>
      </x:c>
      <x:c r="F10" s="4" t="str">
        <x:v>CSV; JSON</x:v>
      </x:c>
      <x:c r="G10" s="4" t="str">
        <x:v>B</x:v>
      </x:c>
      <x:c r="H10" s="22" t="str">
        <x:v>https://data.lacity.org/d/2nrs-mtv8</x:v>
      </x:c>
      <x:c r="I10" s="22" t="str">
        <x:v>https://data.lacity.org/api/views/2nrs-mtv8/rows.csv?accessType=DOWNLOAD</x:v>
      </x:c>
      <x:c r="J10" s="22" t="str">
        <x:v>https://data.lacity.org/resource/2nrs-mtv8.json</x:v>
      </x:c>
      <x:c r="K10" s="4" t="str">
        <x:v>Socrata bulk export / API</x:v>
      </x:c>
      <x:c r="L10" s="4" t="str">
        <x:v>Historical / archived</x:v>
      </x:c>
      <x:c r="M10" s="4" t="str">
        <x:v>Los Angeles</x:v>
      </x:c>
      <x:c r="N10" s="4" t="str">
        <x:v>Historical legacy series; use the separate LAPD NIBRS series for current records. Do not treat the metadata modification date as latest event date.</x:v>
      </x:c>
      <x:c r="O10" s="4" t="str">
        <x:v>Socrata</x:v>
      </x:c>
      <x:c r="P10" s="4" t="str">
        <x:v>Top 50 city proper</x:v>
      </x:c>
      <x:c r="Q10" s="4" t="str">
        <x:v>Standard Socrata endpoint constructed from identified dataset ID</x:v>
      </x:c>
      <x:c r="R10" s="4" t="str">
        <x:v>Identified dataset ID plus standard platform export/API format</x:v>
      </x:c>
      <x:c r="S10" s="4" t="str">
        <x:v>Publisher dataset page</x:v>
      </x:c>
      <x:c r="T10" s="4" t="str">
        <x:v>Public dataset; legacy and SODA3 access rules differ. SODA3 API queries require an app token or user authentication. Confirm export access on the dataset page.</x:v>
      </x:c>
      <x:c r="U10" s="4" t="str">
        <x:v>Review the individual publisher's license and attribution terms before reuse.</x:v>
      </x:c>
      <x:c r="V10" s="22" t="str">
        <x:v>https://catalog.data.gov/organization/los-angeles-ca</x:v>
      </x:c>
      <x:c r="W10" s="4" t="str">
        <x:v>2026-10-07</x:v>
      </x:c>
      <x:c r="X10" s="4" t="str">
        <x:v>No</x:v>
      </x:c>
    </x:row>
    <x:row r="11" ht="80" customHeight="1">
      <x:c r="A11" s="4" t="str">
        <x:v>US0007</x:v>
      </x:c>
      <x:c r="B11" s="4" t="str">
        <x:v>Chicago</x:v>
      </x:c>
      <x:c r="C11" s="4" t="str">
        <x:v>IL</x:v>
      </x:c>
      <x:c r="D11" s="4" t="str">
        <x:v>Crimes - 2001 to Present</x:v>
      </x:c>
      <x:c r="E11" s="4" t="str">
        <x:v>Public safety</x:v>
      </x:c>
      <x:c r="F11" s="4" t="str">
        <x:v>CSV; JSON</x:v>
      </x:c>
      <x:c r="G11" s="4" t="str">
        <x:v>B</x:v>
      </x:c>
      <x:c r="H11" s="22" t="str">
        <x:v>https://data.cityofchicago.org/d/ijzp-q8t2</x:v>
      </x:c>
      <x:c r="I11" s="22" t="str">
        <x:v>https://data.cityofchicago.org/api/views/ijzp-q8t2/rows.csv?accessType=DOWNLOAD</x:v>
      </x:c>
      <x:c r="J11" s="22" t="str">
        <x:v>https://data.cityofchicago.org/resource/ijzp-q8t2.json</x:v>
      </x:c>
      <x:c r="K11" s="4" t="str">
        <x:v>Socrata bulk export / API</x:v>
      </x:c>
      <x:c r="L11" s="4" t="str">
        <x:v>Ongoing series</x:v>
      </x:c>
      <x:c r="M11" s="4" t="str">
        <x:v>Chicago</x:v>
      </x:c>
      <x:c r="N11" s="4" t="str"/>
      <x:c r="O11" s="4" t="str">
        <x:v>Socrata</x:v>
      </x:c>
      <x:c r="P11" s="4" t="str">
        <x:v>Top 50 city proper</x:v>
      </x:c>
      <x:c r="Q11" s="4" t="str">
        <x:v>Standard Socrata endpoint constructed from identified dataset ID</x:v>
      </x:c>
      <x:c r="R11" s="4" t="str">
        <x:v>Identified dataset ID plus standard platform export/API format</x:v>
      </x:c>
      <x:c r="S11" s="4" t="str">
        <x:v>Publisher dataset page</x:v>
      </x:c>
      <x:c r="T11" s="4" t="str">
        <x:v>Public dataset; legacy and SODA3 access rules differ. SODA3 API queries require an app token or user authentication. Confirm export access on the dataset page.</x:v>
      </x:c>
      <x:c r="U11" s="4" t="str">
        <x:v>Review the individual publisher's license and attribution terms before reuse.</x:v>
      </x:c>
      <x:c r="V11" s="22" t="str">
        <x:v>https://data.cityofchicago.org/d/ijzp-q8t2</x:v>
      </x:c>
      <x:c r="W11" s="4" t="str">
        <x:v>2026-10-07</x:v>
      </x:c>
      <x:c r="X11" s="4" t="str">
        <x:v>No</x:v>
      </x:c>
    </x:row>
    <x:row r="12" ht="80" customHeight="1">
      <x:c r="A12" s="4" t="str">
        <x:v>US0008</x:v>
      </x:c>
      <x:c r="B12" s="4" t="str">
        <x:v>Chicago</x:v>
      </x:c>
      <x:c r="C12" s="4" t="str">
        <x:v>IL</x:v>
      </x:c>
      <x:c r="D12" s="4" t="str">
        <x:v>Building Permits</x:v>
      </x:c>
      <x:c r="E12" s="4" t="str">
        <x:v>Buildings / permits</x:v>
      </x:c>
      <x:c r="F12" s="4" t="str">
        <x:v>CSV; JSON</x:v>
      </x:c>
      <x:c r="G12" s="4" t="str">
        <x:v>B</x:v>
      </x:c>
      <x:c r="H12" s="22" t="str">
        <x:v>https://data.cityofchicago.org/d/ydr8-5enu</x:v>
      </x:c>
      <x:c r="I12" s="22" t="str">
        <x:v>https://data.cityofchicago.org/api/views/ydr8-5enu/rows.csv?accessType=DOWNLOAD</x:v>
      </x:c>
      <x:c r="J12" s="22" t="str">
        <x:v>https://data.cityofchicago.org/resource/ydr8-5enu.json</x:v>
      </x:c>
      <x:c r="K12" s="4" t="str">
        <x:v>Socrata bulk export / API</x:v>
      </x:c>
      <x:c r="L12" s="4" t="str">
        <x:v>Ongoing series</x:v>
      </x:c>
      <x:c r="M12" s="4" t="str">
        <x:v>Chicago</x:v>
      </x:c>
      <x:c r="N12" s="4" t="str"/>
      <x:c r="O12" s="4" t="str">
        <x:v>Socrata</x:v>
      </x:c>
      <x:c r="P12" s="4" t="str">
        <x:v>Top 50 city proper</x:v>
      </x:c>
      <x:c r="Q12" s="4" t="str">
        <x:v>Standard Socrata endpoint constructed from identified dataset ID</x:v>
      </x:c>
      <x:c r="R12" s="4" t="str">
        <x:v>Identified dataset ID plus standard platform export/API format</x:v>
      </x:c>
      <x:c r="S12" s="4" t="str">
        <x:v>Publisher dataset page</x:v>
      </x:c>
      <x:c r="T12" s="4" t="str">
        <x:v>Public dataset; legacy and SODA3 access rules differ. SODA3 API queries require an app token or user authentication. Confirm export access on the dataset page.</x:v>
      </x:c>
      <x:c r="U12" s="4" t="str">
        <x:v>Review the individual publisher's license and attribution terms before reuse.</x:v>
      </x:c>
      <x:c r="V12" s="22" t="str">
        <x:v>https://data.cityofchicago.org/d/ydr8-5enu</x:v>
      </x:c>
      <x:c r="W12" s="4" t="str">
        <x:v>2026-10-07</x:v>
      </x:c>
      <x:c r="X12" s="4" t="str">
        <x:v>No</x:v>
      </x:c>
    </x:row>
    <x:row r="13" ht="80" customHeight="1">
      <x:c r="A13" s="4" t="str">
        <x:v>US0009</x:v>
      </x:c>
      <x:c r="B13" s="4" t="str">
        <x:v>Chicago</x:v>
      </x:c>
      <x:c r="C13" s="4" t="str">
        <x:v>IL</x:v>
      </x:c>
      <x:c r="D13" s="4" t="str">
        <x:v>Food Inspections</x:v>
      </x:c>
      <x:c r="E13" s="4" t="str">
        <x:v>Health / inspections</x:v>
      </x:c>
      <x:c r="F13" s="4" t="str">
        <x:v>CSV; JSON</x:v>
      </x:c>
      <x:c r="G13" s="4" t="str">
        <x:v>B</x:v>
      </x:c>
      <x:c r="H13" s="22" t="str">
        <x:v>https://data.cityofchicago.org/d/4ijn-s7e5</x:v>
      </x:c>
      <x:c r="I13" s="22" t="str">
        <x:v>https://data.cityofchicago.org/api/views/4ijn-s7e5/rows.csv?accessType=DOWNLOAD</x:v>
      </x:c>
      <x:c r="J13" s="22" t="str">
        <x:v>https://data.cityofchicago.org/resource/4ijn-s7e5.json</x:v>
      </x:c>
      <x:c r="K13" s="4" t="str">
        <x:v>Socrata bulk export / API</x:v>
      </x:c>
      <x:c r="L13" s="4" t="str">
        <x:v>Ongoing series</x:v>
      </x:c>
      <x:c r="M13" s="4" t="str">
        <x:v>Chicago</x:v>
      </x:c>
      <x:c r="N13" s="4" t="str"/>
      <x:c r="O13" s="4" t="str">
        <x:v>Socrata</x:v>
      </x:c>
      <x:c r="P13" s="4" t="str">
        <x:v>Top 50 city proper</x:v>
      </x:c>
      <x:c r="Q13" s="4" t="str">
        <x:v>Standard Socrata endpoint constructed from identified dataset ID</x:v>
      </x:c>
      <x:c r="R13" s="4" t="str">
        <x:v>Identified dataset ID plus standard platform export/API format</x:v>
      </x:c>
      <x:c r="S13" s="4" t="str">
        <x:v>Publisher dataset page</x:v>
      </x:c>
      <x:c r="T13" s="4" t="str">
        <x:v>Public dataset; legacy and SODA3 access rules differ. SODA3 API queries require an app token or user authentication. Confirm export access on the dataset page.</x:v>
      </x:c>
      <x:c r="U13" s="4" t="str">
        <x:v>Review the individual publisher's license and attribution terms before reuse.</x:v>
      </x:c>
      <x:c r="V13" s="22" t="str">
        <x:v>https://data.cityofchicago.org/d/4ijn-s7e5</x:v>
      </x:c>
      <x:c r="W13" s="4" t="str">
        <x:v>2026-10-07</x:v>
      </x:c>
      <x:c r="X13" s="4" t="str">
        <x:v>No</x:v>
      </x:c>
    </x:row>
    <x:row r="14" ht="80" customHeight="1">
      <x:c r="A14" s="4" t="str">
        <x:v>US0010</x:v>
      </x:c>
      <x:c r="B14" s="4" t="str">
        <x:v>Chicago</x:v>
      </x:c>
      <x:c r="C14" s="4" t="str">
        <x:v>IL</x:v>
      </x:c>
      <x:c r="D14" s="4" t="str">
        <x:v>Chicago Public Schools - School Locations SY2526</x:v>
      </x:c>
      <x:c r="E14" s="4" t="str">
        <x:v>Education</x:v>
      </x:c>
      <x:c r="F14" s="4" t="str">
        <x:v>CSV; JSON; GeoJSON</x:v>
      </x:c>
      <x:c r="G14" s="4" t="str">
        <x:v>A</x:v>
      </x:c>
      <x:c r="H14" s="22" t="str">
        <x:v>https://data.cityofchicago.org/d/pb6d-zzuh</x:v>
      </x:c>
      <x:c r="I14" s="22" t="str">
        <x:v>https://data.cityofchicago.org/api/v3/views/pb6d-zzuh/export.csv?accessType=DOWNLOAD</x:v>
      </x:c>
      <x:c r="J14" s="22" t="str">
        <x:v>https://data.cityofchicago.org/api/v3/views/pb6d-zzuh/query.json?accessType=DOWNLOAD</x:v>
      </x:c>
      <x:c r="K14" s="4" t="str">
        <x:v>Socrata published export</x:v>
      </x:c>
      <x:c r="L14" s="4" t="str">
        <x:v>Dated snapshot</x:v>
      </x:c>
      <x:c r="M14" s="4" t="str">
        <x:v>Chicago</x:v>
      </x:c>
      <x:c r="N14" s="4" t="str">
        <x:v>School year 2025–2026 snapshot, not a current enrollment feed.</x:v>
      </x:c>
      <x:c r="O14" s="4" t="str">
        <x:v>Socrata</x:v>
      </x:c>
      <x:c r="P14" s="4" t="str">
        <x:v>Top 50 city proper</x:v>
      </x:c>
      <x:c r="Q14" s="4" t="str">
        <x:v>Published URL</x:v>
      </x:c>
      <x:c r="R14" s="4" t="str">
        <x:v>Published file link or explicit publisher/registry format metadata</x:v>
      </x:c>
      <x:c r="S14" s="4" t="str">
        <x:v>Official Data.gov distribution metadata</x:v>
      </x:c>
      <x:c r="T14" s="4" t="str">
        <x:v>Public dataset; legacy and SODA3 access rules differ. SODA3 API queries require an app token or user authentication. Confirm export access on the dataset page.</x:v>
      </x:c>
      <x:c r="U14" s="4" t="str">
        <x:v>Review the individual publisher's license and attribution terms before reuse.</x:v>
      </x:c>
      <x:c r="V14" s="22" t="str">
        <x:v>https://catalog.data.gov/dataset/chicago-public-schools-school-locations-sy2526</x:v>
      </x:c>
      <x:c r="W14" s="4" t="str">
        <x:v>2026-10-07</x:v>
      </x:c>
      <x:c r="X14" s="4" t="str">
        <x:v>No</x:v>
      </x:c>
    </x:row>
    <x:row r="15" ht="64" customHeight="1">
      <x:c r="A15" s="4" t="str">
        <x:v>US0070</x:v>
      </x:c>
      <x:c r="B15" s="4" t="str">
        <x:v>Houston</x:v>
      </x:c>
      <x:c r="C15" s="4" t="str">
        <x:v>TX</x:v>
      </x:c>
      <x:c r="D15" s="4" t="str">
        <x:v>Structural fires</x:v>
      </x:c>
      <x:c r="E15" s="4" t="str">
        <x:v>Public safety</x:v>
      </x:c>
      <x:c r="F15" s="4" t="str">
        <x:v>ArcGIS JSON; CSV/GeoJSON where enabled</x:v>
      </x:c>
      <x:c r="G15" s="4" t="str">
        <x:v>C</x:v>
      </x:c>
      <x:c r="H15" s="22" t="str">
        <x:v>https://cohgis-mycity.opendata.arcgis.com/datasets/c17a63cbfaaf47529e32d449b8073445_6/about</x:v>
      </x:c>
      <x:c r="I15" s="22" t="str"/>
      <x:c r="J15" s="22" t="str"/>
      <x:c r="K15" s="4" t="str">
        <x:v>ArcGIS dataset page: Download or API</x:v>
      </x:c>
      <x:c r="L15" s="4" t="str">
        <x:v>Check publisher for coverage and update schedule</x:v>
      </x:c>
      <x:c r="M15" s="4" t="str">
        <x:v>Houston</x:v>
      </x:c>
      <x:c r="N15" s="4" t="str">
        <x:v>Publisher describes quarterly provision by Houston Fire Department; file payload not downloaded.</x:v>
      </x:c>
      <x:c r="O15" s="4" t="str">
        <x:v>ArcGIS Hub</x:v>
      </x:c>
      <x:c r="P15" s="4" t="str">
        <x:v>Top 50 city proper</x:v>
      </x:c>
      <x:c r="Q15" s="4" t="str">
        <x:v>Dataset-specific URL; resolve layer service through page</x:v>
      </x:c>
      <x:c r="R15" s="4" t="str">
        <x:v>ArcGIS layer listing; CSV/GeoJSON export availability not individually confirmed</x:v>
      </x:c>
      <x:c r="S15" s="4" t="str">
        <x:v>Publisher layer listing; export not downloaded</x:v>
      </x:c>
      <x:c r="T15" s="4" t="str">
        <x:v>Public listing; authentication requirements and rate limits were not payload-tested.</x:v>
      </x:c>
      <x:c r="U15" s="4" t="str">
        <x:v>Review the individual publisher's license and attribution terms before reuse.</x:v>
      </x:c>
      <x:c r="V15" s="22" t="str">
        <x:v>https://cohgis-mycity.opendata.arcgis.com/datasets/c17a63cbfaaf47529e32d449b8073445_6/about</x:v>
      </x:c>
      <x:c r="W15" s="4" t="str">
        <x:v>2026-10-07</x:v>
      </x:c>
      <x:c r="X15" s="4" t="str">
        <x:v>No</x:v>
      </x:c>
    </x:row>
    <x:row r="16" ht="64" customHeight="1">
      <x:c r="A16" s="4" t="str">
        <x:v>US0011</x:v>
      </x:c>
      <x:c r="B16" s="4" t="str">
        <x:v>Phoenix</x:v>
      </x:c>
      <x:c r="C16" s="4" t="str">
        <x:v>AZ</x:v>
      </x:c>
      <x:c r="D16" s="4" t="str">
        <x:v>Police Calls for Service</x:v>
      </x:c>
      <x:c r="E16" s="4" t="str">
        <x:v>Public safety</x:v>
      </x:c>
      <x:c r="F16" s="4" t="str">
        <x:v>CSV</x:v>
      </x:c>
      <x:c r="G16" s="4" t="str">
        <x:v>C</x:v>
      </x:c>
      <x:c r="H16" s="22" t="str">
        <x:v>https://www.phoenixopendata.com/dataset/calls-for-service</x:v>
      </x:c>
      <x:c r="I16" s="22" t="str"/>
      <x:c r="J16" s="22" t="str">
        <x:v>https://www.phoenixopendata.com/api/3/action/package_show?id=calls-for-service</x:v>
      </x:c>
      <x:c r="K16" s="4" t="str">
        <x:v>CKAN resource selection</x:v>
      </x:c>
      <x:c r="L16" s="4" t="str">
        <x:v>Ongoing series</x:v>
      </x:c>
      <x:c r="M16" s="4" t="str">
        <x:v>Phoenix</x:v>
      </x:c>
      <x:c r="N16" s="4" t="str">
        <x:v>Select the required year from the resource list. Portal retrieval was intermittent.</x:v>
      </x:c>
      <x:c r="O16" s="4" t="str">
        <x:v>CKAN</x:v>
      </x:c>
      <x:c r="P16" s="4" t="str">
        <x:v>Top 50 city proper</x:v>
      </x:c>
      <x:c r="Q16" s="4" t="str">
        <x:v>Standard CKAN metadata endpoint; select published resource URL</x:v>
      </x:c>
      <x:c r="R16" s="4" t="str">
        <x:v>Publisher resource listing; select the CSV/GeoJSON resource</x:v>
      </x:c>
      <x:c r="S16" s="4" t="str">
        <x:v>Publisher dataset indexed; portal retrieval intermittent</x:v>
      </x:c>
      <x:c r="T16" s="4" t="str">
        <x:v>Public listing; authentication requirements and rate limits were not payload-tested.</x:v>
      </x:c>
      <x:c r="U16" s="4" t="str">
        <x:v>Review the individual publisher's license and attribution terms before reuse.</x:v>
      </x:c>
      <x:c r="V16" s="22" t="str">
        <x:v>https://www.phoenixopendata.com/dataset/calls-for-service</x:v>
      </x:c>
      <x:c r="W16" s="4" t="str">
        <x:v>2026-10-07</x:v>
      </x:c>
      <x:c r="X16" s="4" t="str">
        <x:v>No</x:v>
      </x:c>
    </x:row>
    <x:row r="17" ht="64" customHeight="1">
      <x:c r="A17" s="4" t="str">
        <x:v>US0012</x:v>
      </x:c>
      <x:c r="B17" s="4" t="str">
        <x:v>Phoenix</x:v>
      </x:c>
      <x:c r="C17" s="4" t="str">
        <x:v>AZ</x:v>
      </x:c>
      <x:c r="D17" s="4" t="str">
        <x:v>Fire Calls for Service</x:v>
      </x:c>
      <x:c r="E17" s="4" t="str">
        <x:v>Public safety</x:v>
      </x:c>
      <x:c r="F17" s="4" t="str">
        <x:v>CSV</x:v>
      </x:c>
      <x:c r="G17" s="4" t="str">
        <x:v>C</x:v>
      </x:c>
      <x:c r="H17" s="22" t="str">
        <x:v>https://www.phoenixopendata.com/dataset/calls-for-service-fire</x:v>
      </x:c>
      <x:c r="I17" s="22" t="str"/>
      <x:c r="J17" s="22" t="str">
        <x:v>https://www.phoenixopendata.com/api/3/action/package_show?id=calls-for-service-fire</x:v>
      </x:c>
      <x:c r="K17" s="4" t="str">
        <x:v>CKAN resource selection</x:v>
      </x:c>
      <x:c r="L17" s="4" t="str">
        <x:v>Ongoing series</x:v>
      </x:c>
      <x:c r="M17" s="4" t="str">
        <x:v>Phoenix</x:v>
      </x:c>
      <x:c r="N17" s="4" t="str">
        <x:v>Select the required year from the resource list. Portal retrieval was intermittent.</x:v>
      </x:c>
      <x:c r="O17" s="4" t="str">
        <x:v>CKAN</x:v>
      </x:c>
      <x:c r="P17" s="4" t="str">
        <x:v>Top 50 city proper</x:v>
      </x:c>
      <x:c r="Q17" s="4" t="str">
        <x:v>Standard CKAN metadata endpoint; select published resource URL</x:v>
      </x:c>
      <x:c r="R17" s="4" t="str">
        <x:v>Publisher resource listing; select the CSV/GeoJSON resource</x:v>
      </x:c>
      <x:c r="S17" s="4" t="str">
        <x:v>Publisher dataset indexed; portal retrieval intermittent</x:v>
      </x:c>
      <x:c r="T17" s="4" t="str">
        <x:v>Public listing; authentication requirements and rate limits were not payload-tested.</x:v>
      </x:c>
      <x:c r="U17" s="4" t="str">
        <x:v>Review the individual publisher's license and attribution terms before reuse.</x:v>
      </x:c>
      <x:c r="V17" s="22" t="str">
        <x:v>https://www.phoenixopendata.com/dataset/calls-for-service-fire</x:v>
      </x:c>
      <x:c r="W17" s="4" t="str">
        <x:v>2026-10-07</x:v>
      </x:c>
      <x:c r="X17" s="4" t="str">
        <x:v>No</x:v>
      </x:c>
    </x:row>
    <x:row r="18" ht="66" customHeight="1">
      <x:c r="A18" s="4" t="str">
        <x:v>US0034</x:v>
      </x:c>
      <x:c r="B18" s="4" t="str">
        <x:v>Philadelphia</x:v>
      </x:c>
      <x:c r="C18" s="4" t="str">
        <x:v>PA</x:v>
      </x:c>
      <x:c r="D18" s="4" t="str">
        <x:v>311 Service and Information Requests</x:v>
      </x:c>
      <x:c r="E18" s="4" t="str">
        <x:v>311 / service requests</x:v>
      </x:c>
      <x:c r="F18" s="4" t="str">
        <x:v>CSV; JSON</x:v>
      </x:c>
      <x:c r="G18" s="4" t="str">
        <x:v>C</x:v>
      </x:c>
      <x:c r="H18" s="22" t="str">
        <x:v>https://opendataphilly.org/datasets/311-service-and-information-requests/</x:v>
      </x:c>
      <x:c r="I18" s="22" t="str"/>
      <x:c r="J18" s="22" t="str"/>
      <x:c r="K18" s="4" t="str">
        <x:v>Year-specific CSV downloads / CARTO SQL API</x:v>
      </x:c>
      <x:c r="L18" s="4" t="str">
        <x:v>Ongoing series</x:v>
      </x:c>
      <x:c r="M18" s="4" t="str">
        <x:v>Philadelphia</x:v>
      </x:c>
      <x:c r="N18" s="4" t="str">
        <x:v>Records since December 2014. Large dataset; start with a yearly CSV. Download/API links are on the dataset page.</x:v>
      </x:c>
      <x:c r="O18" s="4" t="str">
        <x:v>OpenDataPhilly / CARTO</x:v>
      </x:c>
      <x:c r="P18" s="4" t="str">
        <x:v>Top 50 city proper</x:v>
      </x:c>
      <x:c r="Q18" s="4" t="str">
        <x:v>Use dataset page</x:v>
      </x:c>
      <x:c r="R18" s="4" t="str">
        <x:v>Publisher lists download resources; open the dataset page to select a file</x:v>
      </x:c>
      <x:c r="S18" s="4" t="str">
        <x:v>Publisher dataset description and CSV resources reviewed</x:v>
      </x:c>
      <x:c r="T18" s="4" t="str">
        <x:v>Public listing; authentication requirements and rate limits were not payload-tested.</x:v>
      </x:c>
      <x:c r="U18" s="4" t="str">
        <x:v>Review the individual publisher's license and attribution terms before reuse.</x:v>
      </x:c>
      <x:c r="V18" s="22" t="str">
        <x:v>https://opendataphilly.org/datasets/311-service-and-information-requests/</x:v>
      </x:c>
      <x:c r="W18" s="4" t="str">
        <x:v>2026-10-07</x:v>
      </x:c>
      <x:c r="X18" s="4" t="str">
        <x:v>No</x:v>
      </x:c>
    </x:row>
    <x:row r="19" ht="64" customHeight="1">
      <x:c r="A19" s="4" t="str">
        <x:v>US0013</x:v>
      </x:c>
      <x:c r="B19" s="4" t="str">
        <x:v>San Antonio</x:v>
      </x:c>
      <x:c r="C19" s="4" t="str">
        <x:v>TX</x:v>
      </x:c>
      <x:c r="D19" s="4" t="str">
        <x:v>311 Service Calls</x:v>
      </x:c>
      <x:c r="E19" s="4" t="str">
        <x:v>311 / service requests</x:v>
      </x:c>
      <x:c r="F19" s="4" t="str">
        <x:v>CSV</x:v>
      </x:c>
      <x:c r="G19" s="4" t="str">
        <x:v>C</x:v>
      </x:c>
      <x:c r="H19" s="22" t="str">
        <x:v>https://data.sanantonio.gov/dataset/service-calls</x:v>
      </x:c>
      <x:c r="I19" s="22" t="str"/>
      <x:c r="J19" s="22" t="str">
        <x:v>https://data.sanantonio.gov/api/3/action/package_show?id=service-calls</x:v>
      </x:c>
      <x:c r="K19" s="4" t="str">
        <x:v>CKAN resource selection</x:v>
      </x:c>
      <x:c r="L19" s="4" t="str">
        <x:v>Check publisher for coverage and update schedule</x:v>
      </x:c>
      <x:c r="M19" s="4" t="str">
        <x:v>San Antonio</x:v>
      </x:c>
      <x:c r="N19" s="4" t="str">
        <x:v>Choose the relevant resource/year. Portal retrieval was intermittent.</x:v>
      </x:c>
      <x:c r="O19" s="4" t="str">
        <x:v>CKAN</x:v>
      </x:c>
      <x:c r="P19" s="4" t="str">
        <x:v>Top 50 city proper</x:v>
      </x:c>
      <x:c r="Q19" s="4" t="str">
        <x:v>Standard CKAN metadata endpoint; select published resource URL</x:v>
      </x:c>
      <x:c r="R19" s="4" t="str">
        <x:v>Publisher resource listing; select the CSV/GeoJSON resource</x:v>
      </x:c>
      <x:c r="S19" s="4" t="str">
        <x:v>Publisher dataset indexed; portal retrieval intermittent</x:v>
      </x:c>
      <x:c r="T19" s="4" t="str">
        <x:v>Public listing; authentication requirements and rate limits were not payload-tested.</x:v>
      </x:c>
      <x:c r="U19" s="4" t="str">
        <x:v>Review the individual publisher's license and attribution terms before reuse.</x:v>
      </x:c>
      <x:c r="V19" s="22" t="str">
        <x:v>https://data.sanantonio.gov/dataset/service-calls</x:v>
      </x:c>
      <x:c r="W19" s="4" t="str">
        <x:v>2026-10-07</x:v>
      </x:c>
      <x:c r="X19" s="4" t="str">
        <x:v>No</x:v>
      </x:c>
    </x:row>
    <x:row r="20" ht="64" customHeight="1">
      <x:c r="A20" s="4" t="str">
        <x:v>US0014</x:v>
      </x:c>
      <x:c r="B20" s="4" t="str">
        <x:v>San Antonio</x:v>
      </x:c>
      <x:c r="C20" s="4" t="str">
        <x:v>TX</x:v>
      </x:c>
      <x:c r="D20" s="4" t="str">
        <x:v>Building Permits</x:v>
      </x:c>
      <x:c r="E20" s="4" t="str">
        <x:v>Buildings / permits</x:v>
      </x:c>
      <x:c r="F20" s="4" t="str">
        <x:v>CSV</x:v>
      </x:c>
      <x:c r="G20" s="4" t="str">
        <x:v>C</x:v>
      </x:c>
      <x:c r="H20" s="22" t="str">
        <x:v>https://data.sanantonio.gov/dataset/building-permits</x:v>
      </x:c>
      <x:c r="I20" s="22" t="str"/>
      <x:c r="J20" s="22" t="str">
        <x:v>https://data.sanantonio.gov/api/3/action/package_show?id=building-permits</x:v>
      </x:c>
      <x:c r="K20" s="4" t="str">
        <x:v>CKAN resource selection</x:v>
      </x:c>
      <x:c r="L20" s="4" t="str">
        <x:v>Check publisher for coverage and update schedule</x:v>
      </x:c>
      <x:c r="M20" s="4" t="str">
        <x:v>San Antonio</x:v>
      </x:c>
      <x:c r="N20" s="4" t="str">
        <x:v>Choose the relevant resource/year. Portal retrieval was intermittent.</x:v>
      </x:c>
      <x:c r="O20" s="4" t="str">
        <x:v>CKAN</x:v>
      </x:c>
      <x:c r="P20" s="4" t="str">
        <x:v>Top 50 city proper</x:v>
      </x:c>
      <x:c r="Q20" s="4" t="str">
        <x:v>Standard CKAN metadata endpoint; select published resource URL</x:v>
      </x:c>
      <x:c r="R20" s="4" t="str">
        <x:v>Publisher resource listing; select the CSV/GeoJSON resource</x:v>
      </x:c>
      <x:c r="S20" s="4" t="str">
        <x:v>Publisher dataset indexed; portal retrieval intermittent</x:v>
      </x:c>
      <x:c r="T20" s="4" t="str">
        <x:v>Public listing; authentication requirements and rate limits were not payload-tested.</x:v>
      </x:c>
      <x:c r="U20" s="4" t="str">
        <x:v>Review the individual publisher's license and attribution terms before reuse.</x:v>
      </x:c>
      <x:c r="V20" s="22" t="str">
        <x:v>https://data.sanantonio.gov/dataset/building-permits</x:v>
      </x:c>
      <x:c r="W20" s="4" t="str">
        <x:v>2026-10-07</x:v>
      </x:c>
      <x:c r="X20" s="4" t="str">
        <x:v>No</x:v>
      </x:c>
    </x:row>
    <x:row r="21" ht="64" customHeight="1">
      <x:c r="A21" s="4" t="str">
        <x:v>US0015</x:v>
      </x:c>
      <x:c r="B21" s="4" t="str">
        <x:v>San Diego</x:v>
      </x:c>
      <x:c r="C21" s="4" t="str">
        <x:v>CA</x:v>
      </x:c>
      <x:c r="D21" s="4" t="str">
        <x:v>Get It Done service requests</x:v>
      </x:c>
      <x:c r="E21" s="4" t="str">
        <x:v>311 / service requests</x:v>
      </x:c>
      <x:c r="F21" s="4" t="str">
        <x:v>CSV</x:v>
      </x:c>
      <x:c r="G21" s="4" t="str">
        <x:v>C</x:v>
      </x:c>
      <x:c r="H21" s="22" t="str">
        <x:v>https://data.sandiego.gov/datasets/get-it-done-reports/</x:v>
      </x:c>
      <x:c r="I21" s="22" t="str"/>
      <x:c r="J21" s="22" t="str"/>
      <x:c r="K21" s="4" t="str">
        <x:v>Published CSV downloads on dataset page</x:v>
      </x:c>
      <x:c r="L21" s="4" t="str">
        <x:v>Ongoing series</x:v>
      </x:c>
      <x:c r="M21" s="4" t="str">
        <x:v>San Diego</x:v>
      </x:c>
      <x:c r="N21" s="4" t="str">
        <x:v>Separate open requests and year-specific closed-request files. Data dictionary and sample included.</x:v>
      </x:c>
      <x:c r="O21" s="4" t="str">
        <x:v>Direct files</x:v>
      </x:c>
      <x:c r="P21" s="4" t="str">
        <x:v>Top 50 city proper</x:v>
      </x:c>
      <x:c r="Q21" s="4" t="str">
        <x:v>Use dataset page</x:v>
      </x:c>
      <x:c r="R21" s="4" t="str">
        <x:v>Publisher lists download resources; open the dataset page to select a file</x:v>
      </x:c>
      <x:c r="S21" s="4" t="str">
        <x:v>Publisher CSV resource table and sample reviewed</x:v>
      </x:c>
      <x:c r="T21" s="4" t="str">
        <x:v>Public listing; authentication requirements and rate limits were not payload-tested.</x:v>
      </x:c>
      <x:c r="U21" s="4" t="str">
        <x:v>Review the individual publisher's license and attribution terms before reuse.</x:v>
      </x:c>
      <x:c r="V21" s="22" t="str">
        <x:v>https://data.sandiego.gov/datasets/get-it-done-reports/</x:v>
      </x:c>
      <x:c r="W21" s="4" t="str">
        <x:v>2026-10-07</x:v>
      </x:c>
      <x:c r="X21" s="4" t="str">
        <x:v>No</x:v>
      </x:c>
    </x:row>
    <x:row r="22" ht="64" customHeight="1">
      <x:c r="A22" s="4" t="str">
        <x:v>US0016</x:v>
      </x:c>
      <x:c r="B22" s="4" t="str">
        <x:v>San Diego</x:v>
      </x:c>
      <x:c r="C22" s="4" t="str">
        <x:v>CA</x:v>
      </x:c>
      <x:c r="D22" s="4" t="str">
        <x:v>Approvals for development projects</x:v>
      </x:c>
      <x:c r="E22" s="4" t="str">
        <x:v>Buildings / permits</x:v>
      </x:c>
      <x:c r="F22" s="4" t="str">
        <x:v>CSV</x:v>
      </x:c>
      <x:c r="G22" s="4" t="str">
        <x:v>C</x:v>
      </x:c>
      <x:c r="H22" s="22" t="str">
        <x:v>https://data.sandiego.gov/datasets/development-permits/</x:v>
      </x:c>
      <x:c r="I22" s="22" t="str"/>
      <x:c r="J22" s="22" t="str"/>
      <x:c r="K22" s="4" t="str">
        <x:v>Published CSV downloads on dataset page</x:v>
      </x:c>
      <x:c r="L22" s="4" t="str">
        <x:v>Ongoing series</x:v>
      </x:c>
      <x:c r="M22" s="4" t="str">
        <x:v>San Diego</x:v>
      </x:c>
      <x:c r="N22" s="4" t="str">
        <x:v>All-approvals and year/status-specific files. Large full export; select a yearly file to start.</x:v>
      </x:c>
      <x:c r="O22" s="4" t="str">
        <x:v>Direct files</x:v>
      </x:c>
      <x:c r="P22" s="4" t="str">
        <x:v>Top 50 city proper</x:v>
      </x:c>
      <x:c r="Q22" s="4" t="str">
        <x:v>Use dataset page</x:v>
      </x:c>
      <x:c r="R22" s="4" t="str">
        <x:v>Publisher lists download resources; open the dataset page to select a file</x:v>
      </x:c>
      <x:c r="S22" s="4" t="str">
        <x:v>Publisher CSV resource table reviewed</x:v>
      </x:c>
      <x:c r="T22" s="4" t="str">
        <x:v>Public listing; authentication requirements and rate limits were not payload-tested.</x:v>
      </x:c>
      <x:c r="U22" s="4" t="str">
        <x:v>Review the individual publisher's license and attribution terms before reuse.</x:v>
      </x:c>
      <x:c r="V22" s="22" t="str">
        <x:v>https://data.sandiego.gov/datasets/development-permits/</x:v>
      </x:c>
      <x:c r="W22" s="4" t="str">
        <x:v>2026-10-07</x:v>
      </x:c>
      <x:c r="X22" s="4" t="str">
        <x:v>No</x:v>
      </x:c>
    </x:row>
    <x:row r="23" ht="80" customHeight="1">
      <x:c r="A23" s="4" t="str">
        <x:v>US0018</x:v>
      </x:c>
      <x:c r="B23" s="4" t="str">
        <x:v>Dallas</x:v>
      </x:c>
      <x:c r="C23" s="4" t="str">
        <x:v>TX</x:v>
      </x:c>
      <x:c r="D23" s="4" t="str">
        <x:v>311 Service Request Based</x:v>
      </x:c>
      <x:c r="E23" s="4" t="str">
        <x:v>311 / service requests</x:v>
      </x:c>
      <x:c r="F23" s="4" t="str">
        <x:v>CSV; JSON</x:v>
      </x:c>
      <x:c r="G23" s="4" t="str">
        <x:v>B</x:v>
      </x:c>
      <x:c r="H23" s="22" t="str">
        <x:v>https://www.dallasopendata.com/d/wwr9-8ha7</x:v>
      </x:c>
      <x:c r="I23" s="22" t="str">
        <x:v>https://www.dallasopendata.com/api/views/wwr9-8ha7/rows.csv?accessType=DOWNLOAD</x:v>
      </x:c>
      <x:c r="J23" s="22" t="str">
        <x:v>https://www.dallasopendata.com/resource/wwr9-8ha7.json</x:v>
      </x:c>
      <x:c r="K23" s="4" t="str">
        <x:v>Socrata bulk export / API</x:v>
      </x:c>
      <x:c r="L23" s="4" t="str">
        <x:v>Check publisher for coverage and update schedule</x:v>
      </x:c>
      <x:c r="M23" s="4" t="str">
        <x:v>Dallas</x:v>
      </x:c>
      <x:c r="N23" s="4" t="str"/>
      <x:c r="O23" s="4" t="str">
        <x:v>Socrata</x:v>
      </x:c>
      <x:c r="P23" s="4" t="str">
        <x:v>Top 50 city proper</x:v>
      </x:c>
      <x:c r="Q23" s="4" t="str">
        <x:v>Standard Socrata endpoint constructed from identified dataset ID</x:v>
      </x:c>
      <x:c r="R23" s="4" t="str">
        <x:v>Identified dataset ID plus standard platform export/API format</x:v>
      </x:c>
      <x:c r="S23" s="4" t="str">
        <x:v>Publisher dataset page</x:v>
      </x:c>
      <x:c r="T23" s="4" t="str">
        <x:v>Public dataset; legacy and SODA3 access rules differ. SODA3 API queries require an app token or user authentication. Confirm export access on the dataset page.</x:v>
      </x:c>
      <x:c r="U23" s="4" t="str">
        <x:v>Review the individual publisher's license and attribution terms before reuse.</x:v>
      </x:c>
      <x:c r="V23" s="22" t="str">
        <x:v>https://www.dallasopendata.com/Services/311-Service-Request-Based/wwr9-8ha7</x:v>
      </x:c>
      <x:c r="W23" s="4" t="str">
        <x:v>2026-10-07</x:v>
      </x:c>
      <x:c r="X23" s="4" t="str">
        <x:v>No</x:v>
      </x:c>
    </x:row>
    <x:row r="24" ht="80" customHeight="1">
      <x:c r="A24" s="4" t="str">
        <x:v>US0019</x:v>
      </x:c>
      <x:c r="B24" s="4" t="str">
        <x:v>Dallas</x:v>
      </x:c>
      <x:c r="C24" s="4" t="str">
        <x:v>TX</x:v>
      </x:c>
      <x:c r="D24" s="4" t="str">
        <x:v>Rainfall Sensors Throughout Dallas</x:v>
      </x:c>
      <x:c r="E24" s="4" t="str">
        <x:v>Environment</x:v>
      </x:c>
      <x:c r="F24" s="4" t="str">
        <x:v>CSV; JSON</x:v>
      </x:c>
      <x:c r="G24" s="4" t="str">
        <x:v>B</x:v>
      </x:c>
      <x:c r="H24" s="22" t="str">
        <x:v>https://www.dallasopendata.com/d/faqt-cgzp</x:v>
      </x:c>
      <x:c r="I24" s="22" t="str">
        <x:v>https://www.dallasopendata.com/api/views/faqt-cgzp/rows.csv?accessType=DOWNLOAD</x:v>
      </x:c>
      <x:c r="J24" s="22" t="str">
        <x:v>https://www.dallasopendata.com/resource/faqt-cgzp.json</x:v>
      </x:c>
      <x:c r="K24" s="4" t="str">
        <x:v>Socrata bulk export / API</x:v>
      </x:c>
      <x:c r="L24" s="4" t="str">
        <x:v>Check publisher for coverage and update schedule</x:v>
      </x:c>
      <x:c r="M24" s="4" t="str">
        <x:v>Dallas</x:v>
      </x:c>
      <x:c r="N24" s="4" t="str"/>
      <x:c r="O24" s="4" t="str">
        <x:v>Socrata</x:v>
      </x:c>
      <x:c r="P24" s="4" t="str">
        <x:v>Top 50 city proper</x:v>
      </x:c>
      <x:c r="Q24" s="4" t="str">
        <x:v>Standard Socrata endpoint constructed from identified dataset ID</x:v>
      </x:c>
      <x:c r="R24" s="4" t="str">
        <x:v>Identified dataset ID plus standard platform export/API format</x:v>
      </x:c>
      <x:c r="S24" s="4" t="str">
        <x:v>Publisher dataset page</x:v>
      </x:c>
      <x:c r="T24" s="4" t="str">
        <x:v>Public dataset; legacy and SODA3 access rules differ. SODA3 API queries require an app token or user authentication. Confirm export access on the dataset page.</x:v>
      </x:c>
      <x:c r="U24" s="4" t="str">
        <x:v>Review the individual publisher's license and attribution terms before reuse.</x:v>
      </x:c>
      <x:c r="V24" s="22" t="str">
        <x:v>https://www.dallasopendata.com/Services/Rainfall-Sensors-Throughout-Dallas/faqt-cgzp</x:v>
      </x:c>
      <x:c r="W24" s="4" t="str">
        <x:v>2026-10-07</x:v>
      </x:c>
      <x:c r="X24" s="4" t="str">
        <x:v>No</x:v>
      </x:c>
    </x:row>
    <x:row r="25" ht="64" customHeight="1">
      <x:c r="A25" s="4" t="str">
        <x:v>US0071</x:v>
      </x:c>
      <x:c r="B25" s="4" t="str">
        <x:v>Fort Worth</x:v>
      </x:c>
      <x:c r="C25" s="4" t="str">
        <x:v>TX</x:v>
      </x:c>
      <x:c r="D25" s="4" t="str">
        <x:v>Development permits</x:v>
      </x:c>
      <x:c r="E25" s="4" t="str">
        <x:v>Development</x:v>
      </x:c>
      <x:c r="F25" s="4" t="str">
        <x:v>ArcGIS JSON; CSV/GeoJSON where enabled</x:v>
      </x:c>
      <x:c r="G25" s="4" t="str">
        <x:v>C</x:v>
      </x:c>
      <x:c r="H25" s="22" t="str">
        <x:v>https://data.fortworthtexas.gov/datasets/cfw-development-permits-table/about</x:v>
      </x:c>
      <x:c r="I25" s="22" t="str"/>
      <x:c r="J25" s="22" t="str"/>
      <x:c r="K25" s="4" t="str">
        <x:v>ArcGIS dataset page: Download or API</x:v>
      </x:c>
      <x:c r="L25" s="4" t="str">
        <x:v>Check publisher for coverage and update schedule</x:v>
      </x:c>
      <x:c r="M25" s="4" t="str">
        <x:v>Fort Worth</x:v>
      </x:c>
      <x:c r="N25" s="4" t="str">
        <x:v>Includes building, mechanical, plumbing, garage sale and other permits.</x:v>
      </x:c>
      <x:c r="O25" s="4" t="str">
        <x:v>ArcGIS Hub</x:v>
      </x:c>
      <x:c r="P25" s="4" t="str">
        <x:v>Top 50 city proper</x:v>
      </x:c>
      <x:c r="Q25" s="4" t="str">
        <x:v>Dataset-specific URL; resolve layer service through page</x:v>
      </x:c>
      <x:c r="R25" s="4" t="str">
        <x:v>ArcGIS layer listing; CSV/GeoJSON export availability not individually confirmed</x:v>
      </x:c>
      <x:c r="S25" s="4" t="str">
        <x:v>Publisher layer listing; export not downloaded</x:v>
      </x:c>
      <x:c r="T25" s="4" t="str">
        <x:v>Public listing; authentication requirements and rate limits were not payload-tested.</x:v>
      </x:c>
      <x:c r="U25" s="4" t="str">
        <x:v>Review the individual publisher's license and attribution terms before reuse.</x:v>
      </x:c>
      <x:c r="V25" s="22" t="str">
        <x:v>https://data.fortworthtexas.gov/datasets/cfw-development-permits-table/about</x:v>
      </x:c>
      <x:c r="W25" s="4" t="str">
        <x:v>2026-10-07</x:v>
      </x:c>
      <x:c r="X25" s="4" t="str">
        <x:v>No</x:v>
      </x:c>
    </x:row>
    <x:row r="26" ht="64" customHeight="1">
      <x:c r="A26" s="4" t="str">
        <x:v>US0072</x:v>
      </x:c>
      <x:c r="B26" s="4" t="str">
        <x:v>Fort Worth</x:v>
      </x:c>
      <x:c r="C26" s="4" t="str">
        <x:v>TX</x:v>
      </x:c>
      <x:c r="D26" s="4" t="str">
        <x:v>Current traffic accidents</x:v>
      </x:c>
      <x:c r="E26" s="4" t="str">
        <x:v>Transportation</x:v>
      </x:c>
      <x:c r="F26" s="4" t="str">
        <x:v>ArcGIS JSON; CSV/GeoJSON where enabled</x:v>
      </x:c>
      <x:c r="G26" s="4" t="str">
        <x:v>C</x:v>
      </x:c>
      <x:c r="H26" s="22" t="str">
        <x:v>https://data.fortworthtexas.gov/datasets/cd59b15ca8694393bf9c27004ef77b95_0/explore</x:v>
      </x:c>
      <x:c r="I26" s="22" t="str"/>
      <x:c r="J26" s="22" t="str"/>
      <x:c r="K26" s="4" t="str">
        <x:v>ArcGIS dataset page: Download or API</x:v>
      </x:c>
      <x:c r="L26" s="4" t="str">
        <x:v>Check publisher for coverage and update schedule</x:v>
      </x:c>
      <x:c r="M26" s="4" t="str">
        <x:v>Fort Worth</x:v>
      </x:c>
      <x:c r="N26" s="4" t="str">
        <x:v>Current active incidents, not a historical crash archive. Publisher states five-minute updates.</x:v>
      </x:c>
      <x:c r="O26" s="4" t="str">
        <x:v>ArcGIS Hub</x:v>
      </x:c>
      <x:c r="P26" s="4" t="str">
        <x:v>Top 50 city proper</x:v>
      </x:c>
      <x:c r="Q26" s="4" t="str">
        <x:v>Dataset-specific URL; resolve layer service through page</x:v>
      </x:c>
      <x:c r="R26" s="4" t="str">
        <x:v>ArcGIS layer listing; CSV/GeoJSON export availability not individually confirmed</x:v>
      </x:c>
      <x:c r="S26" s="4" t="str">
        <x:v>Publisher layer listing; export not downloaded</x:v>
      </x:c>
      <x:c r="T26" s="4" t="str">
        <x:v>Public listing; authentication requirements and rate limits were not payload-tested.</x:v>
      </x:c>
      <x:c r="U26" s="4" t="str">
        <x:v>Review the individual publisher's license and attribution terms before reuse.</x:v>
      </x:c>
      <x:c r="V26" s="22" t="str">
        <x:v>https://data.fortworthtexas.gov/datasets/cd59b15ca8694393bf9c27004ef77b95_0/explore</x:v>
      </x:c>
      <x:c r="W26" s="4" t="str">
        <x:v>2026-10-07</x:v>
      </x:c>
      <x:c r="X26" s="4" t="str">
        <x:v>No</x:v>
      </x:c>
    </x:row>
    <x:row r="27" ht="80" customHeight="1">
      <x:c r="A27" s="4" t="str">
        <x:v>US0088</x:v>
      </x:c>
      <x:c r="B27" s="4" t="str">
        <x:v>Jacksonville</x:v>
      </x:c>
      <x:c r="C27" s="4" t="str">
        <x:v>FL</x:v>
      </x:c>
      <x:c r="D27" s="4" t="str">
        <x:v>Jacksonville Transportation Authority static transit schedule</x:v>
      </x:c>
      <x:c r="E27" s="4" t="str">
        <x:v>Transport / public transit</x:v>
      </x:c>
      <x:c r="F27" s="4" t="str">
        <x:v>GTFS ZIP (CSV-formatted TXT tables)</x:v>
      </x:c>
      <x:c r="G27" s="4" t="str">
        <x:v>A</x:v>
      </x:c>
      <x:c r="H27" s="22" t="str">
        <x:v>https://www.jtafla.com/gtfs-archive/</x:v>
      </x:c>
      <x:c r="I27" s="22" t="str">
        <x:v>https://ride.jtafla.com/gtfs-archive/gtfs.zip</x:v>
      </x:c>
      <x:c r="J27" s="22" t="str"/>
      <x:c r="K27" s="4" t="str">
        <x:v>Direct file</x:v>
      </x:c>
      <x:c r="L27" s="4" t="str">
        <x:v>Publisher's current-feed link; inspect service dates</x:v>
      </x:c>
      <x:c r="M27" s="4" t="str">
        <x:v>Jacksonville / JTA service area</x:v>
      </x:c>
      <x:c r="N27" s="4" t="str">
        <x:v>Publisher labels the June 2026 feed current. Inspect calendar.txt and calendar_dates.txt for service validity; archive versions are also available.</x:v>
      </x:c>
      <x:c r="O27" s="4" t="str">
        <x:v>Direct GTFS files</x:v>
      </x:c>
      <x:c r="P27" s="4" t="str">
        <x:v>Top 50 city proper</x:v>
      </x:c>
      <x:c r="Q27" s="4" t="str">
        <x:v>Published URL</x:v>
      </x:c>
      <x:c r="R27" s="4" t="str">
        <x:v>Published file link or explicit publisher/registry format metadata</x:v>
      </x:c>
      <x:c r="S27" s="4" t="str">
        <x:v>Publisher dataset page</x:v>
      </x:c>
      <x:c r="T27" s="4" t="str">
        <x:v>Public listing; authentication requirements and rate limits were not payload-tested.</x:v>
      </x:c>
      <x:c r="U27" s="4" t="str">
        <x:v>Review the individual publisher's license and attribution terms before reuse.</x:v>
      </x:c>
      <x:c r="V27" s="22" t="str">
        <x:v>https://www.jtafla.com/gtfs-archive/</x:v>
      </x:c>
      <x:c r="W27" s="4" t="str">
        <x:v>2026-10-07</x:v>
      </x:c>
      <x:c r="X27" s="4" t="str">
        <x:v>No</x:v>
      </x:c>
    </x:row>
    <x:row r="28" ht="80" customHeight="1">
      <x:c r="A28" s="4" t="str">
        <x:v>US0017</x:v>
      </x:c>
      <x:c r="B28" s="4" t="str">
        <x:v>Austin</x:v>
      </x:c>
      <x:c r="C28" s="4" t="str">
        <x:v>TX</x:v>
      </x:c>
      <x:c r="D28" s="4" t="str">
        <x:v>Issued Construction Permits</x:v>
      </x:c>
      <x:c r="E28" s="4" t="str">
        <x:v>Buildings / permits</x:v>
      </x:c>
      <x:c r="F28" s="4" t="str">
        <x:v>CSV; JSON</x:v>
      </x:c>
      <x:c r="G28" s="4" t="str">
        <x:v>B</x:v>
      </x:c>
      <x:c r="H28" s="22" t="str">
        <x:v>https://data.austintexas.gov/d/3syk-w9eu</x:v>
      </x:c>
      <x:c r="I28" s="22" t="str">
        <x:v>https://data.austintexas.gov/api/views/3syk-w9eu/rows.csv?accessType=DOWNLOAD</x:v>
      </x:c>
      <x:c r="J28" s="22" t="str">
        <x:v>https://data.austintexas.gov/resource/3syk-w9eu.json</x:v>
      </x:c>
      <x:c r="K28" s="4" t="str">
        <x:v>Socrata bulk export / API</x:v>
      </x:c>
      <x:c r="L28" s="4" t="str">
        <x:v>Ongoing series</x:v>
      </x:c>
      <x:c r="M28" s="4" t="str">
        <x:v>Austin</x:v>
      </x:c>
      <x:c r="N28" s="4" t="str"/>
      <x:c r="O28" s="4" t="str">
        <x:v>Socrata</x:v>
      </x:c>
      <x:c r="P28" s="4" t="str">
        <x:v>Top 50 city proper</x:v>
      </x:c>
      <x:c r="Q28" s="4" t="str">
        <x:v>Standard Socrata endpoint constructed from identified dataset ID</x:v>
      </x:c>
      <x:c r="R28" s="4" t="str">
        <x:v>Identified dataset ID plus standard platform export/API format</x:v>
      </x:c>
      <x:c r="S28" s="4" t="str">
        <x:v>Publisher dataset page</x:v>
      </x:c>
      <x:c r="T28" s="4" t="str">
        <x:v>Public dataset; legacy and SODA3 access rules differ. SODA3 API queries require an app token or user authentication. Confirm export access on the dataset page.</x:v>
      </x:c>
      <x:c r="U28" s="4" t="str">
        <x:v>Review the individual publisher's license and attribution terms before reuse.</x:v>
      </x:c>
      <x:c r="V28" s="22" t="str">
        <x:v>https://catalog.data.gov/dataset/issued-construction-permits</x:v>
      </x:c>
      <x:c r="W28" s="4" t="str">
        <x:v>2026-10-07</x:v>
      </x:c>
      <x:c r="X28" s="4" t="str">
        <x:v>No</x:v>
      </x:c>
    </x:row>
    <x:row r="29" ht="80" customHeight="1">
      <x:c r="A29" s="4" t="str">
        <x:v>US0076</x:v>
      </x:c>
      <x:c r="B29" s="4" t="str">
        <x:v>San Jose</x:v>
      </x:c>
      <x:c r="C29" s="4" t="str">
        <x:v>CA</x:v>
      </x:c>
      <x:c r="D29" s="4" t="str">
        <x:v>Animal shelter intake and outcomes</x:v>
      </x:c>
      <x:c r="E29" s="4" t="str">
        <x:v>Animal services</x:v>
      </x:c>
      <x:c r="F29" s="4" t="str">
        <x:v>CSV</x:v>
      </x:c>
      <x:c r="G29" s="4" t="str">
        <x:v>C</x:v>
      </x:c>
      <x:c r="H29" s="22" t="str">
        <x:v>https://data.sanjoseca.gov/dataset/animal-shelter-intake-and-outcomes</x:v>
      </x:c>
      <x:c r="I29" s="22" t="str"/>
      <x:c r="J29" s="22" t="str">
        <x:v>https://data.sanjoseca.gov/api/3/action/package_show?id=animal-shelter-intake-and-outcomes</x:v>
      </x:c>
      <x:c r="K29" s="4" t="str">
        <x:v>CKAN dataset resources; select fiscal-year CSV</x:v>
      </x:c>
      <x:c r="L29" s="4" t="str">
        <x:v>Check publisher for coverage and update schedule</x:v>
      </x:c>
      <x:c r="M29" s="4" t="str">
        <x:v>San Jose</x:v>
      </x:c>
      <x:c r="N29" s="4" t="str">
        <x:v>Publisher lists FY26-27, FY25-26, FY24-25 and earlier resources. Live page fetch returned an error; indexed format metadata used. CKAN API is resource metadata.</x:v>
      </x:c>
      <x:c r="O29" s="4" t="str">
        <x:v>CKAN</x:v>
      </x:c>
      <x:c r="P29" s="4" t="str">
        <x:v>Top 50 city proper</x:v>
      </x:c>
      <x:c r="Q29" s="4" t="str">
        <x:v>Use dataset page</x:v>
      </x:c>
      <x:c r="R29" s="4" t="str">
        <x:v>Publisher resource listing; select the CSV/GeoJSON resource</x:v>
      </x:c>
      <x:c r="S29" s="4" t="str">
        <x:v>Publisher explicitly lists CSV resources; live page fetch failed</x:v>
      </x:c>
      <x:c r="T29" s="4" t="str">
        <x:v>Public listing; authentication requirements and rate limits were not payload-tested.</x:v>
      </x:c>
      <x:c r="U29" s="4" t="str">
        <x:v>Review the individual publisher's license and attribution terms before reuse.</x:v>
      </x:c>
      <x:c r="V29" s="22" t="str">
        <x:v>https://data.sanjoseca.gov/dataset/animal-shelter-intake-and-outcomes</x:v>
      </x:c>
      <x:c r="W29" s="4" t="str">
        <x:v>2026-10-07</x:v>
      </x:c>
      <x:c r="X29" s="4" t="str">
        <x:v>No</x:v>
      </x:c>
    </x:row>
    <x:row r="30" ht="64" customHeight="1">
      <x:c r="A30" s="4" t="str">
        <x:v>US0077</x:v>
      </x:c>
      <x:c r="B30" s="4" t="str">
        <x:v>San Jose</x:v>
      </x:c>
      <x:c r="C30" s="4" t="str">
        <x:v>CA</x:v>
      </x:c>
      <x:c r="D30" s="4" t="str">
        <x:v>Streets</x:v>
      </x:c>
      <x:c r="E30" s="4" t="str">
        <x:v>Transportation</x:v>
      </x:c>
      <x:c r="F30" s="4" t="str">
        <x:v>CSV; GeoJSON; Shapefile; KML</x:v>
      </x:c>
      <x:c r="G30" s="4" t="str">
        <x:v>C</x:v>
      </x:c>
      <x:c r="H30" s="22" t="str">
        <x:v>https://data.sanjoseca.gov/dataset/streets</x:v>
      </x:c>
      <x:c r="I30" s="22" t="str"/>
      <x:c r="J30" s="22" t="str"/>
      <x:c r="K30" s="4" t="str">
        <x:v>CKAN dataset resources; select CSV or GeoJSON</x:v>
      </x:c>
      <x:c r="L30" s="4" t="str">
        <x:v>Check publisher for coverage and update schedule</x:v>
      </x:c>
      <x:c r="M30" s="4" t="str">
        <x:v>San Jose</x:v>
      </x:c>
      <x:c r="N30" s="4" t="str"/>
      <x:c r="O30" s="4" t="str">
        <x:v>CKAN</x:v>
      </x:c>
      <x:c r="P30" s="4" t="str">
        <x:v>Top 50 city proper</x:v>
      </x:c>
      <x:c r="Q30" s="4" t="str">
        <x:v>Use dataset page</x:v>
      </x:c>
      <x:c r="R30" s="4" t="str">
        <x:v>Publisher resource listing; select the CSV/GeoJSON resource</x:v>
      </x:c>
      <x:c r="S30" s="4" t="str">
        <x:v>Publisher explicitly lists CSV, GeoJSON and GIS resources</x:v>
      </x:c>
      <x:c r="T30" s="4" t="str">
        <x:v>Public listing; authentication requirements and rate limits were not payload-tested.</x:v>
      </x:c>
      <x:c r="U30" s="4" t="str">
        <x:v>Review the individual publisher's license and attribution terms before reuse.</x:v>
      </x:c>
      <x:c r="V30" s="22" t="str">
        <x:v>https://data.sanjoseca.gov/dataset/streets</x:v>
      </x:c>
      <x:c r="W30" s="4" t="str">
        <x:v>2026-10-07</x:v>
      </x:c>
      <x:c r="X30" s="4" t="str">
        <x:v>No</x:v>
      </x:c>
    </x:row>
    <x:row r="31" ht="64" customHeight="1">
      <x:c r="A31" s="4" t="str">
        <x:v>US0029</x:v>
      </x:c>
      <x:c r="B31" s="4" t="str">
        <x:v>Charlotte</x:v>
      </x:c>
      <x:c r="C31" s="4" t="str">
        <x:v>NC</x:v>
      </x:c>
      <x:c r="D31" s="4" t="str">
        <x:v>311 Service Requests</x:v>
      </x:c>
      <x:c r="E31" s="4" t="str">
        <x:v>311 / service requests</x:v>
      </x:c>
      <x:c r="F31" s="4" t="str">
        <x:v>ArcGIS JSON; CSV/GeoJSON where enabled</x:v>
      </x:c>
      <x:c r="G31" s="4" t="str">
        <x:v>C</x:v>
      </x:c>
      <x:c r="H31" s="22" t="str">
        <x:v>https://data.charlottenc.gov/datasets/d656def619664c47aa95073dcf8928cd_0/about</x:v>
      </x:c>
      <x:c r="I31" s="22" t="str"/>
      <x:c r="J31" s="22" t="str"/>
      <x:c r="K31" s="4" t="str">
        <x:v>ArcGIS dataset page: Download or API</x:v>
      </x:c>
      <x:c r="L31" s="4" t="str">
        <x:v>Check publisher for coverage and update schedule</x:v>
      </x:c>
      <x:c r="M31" s="4" t="str">
        <x:v>Charlotte</x:v>
      </x:c>
      <x:c r="N31" s="4" t="str"/>
      <x:c r="O31" s="4" t="str">
        <x:v>ArcGIS Hub</x:v>
      </x:c>
      <x:c r="P31" s="4" t="str">
        <x:v>Top 50 city proper</x:v>
      </x:c>
      <x:c r="Q31" s="4" t="str">
        <x:v>Dataset-specific URL; resolve layer service through page</x:v>
      </x:c>
      <x:c r="R31" s="4" t="str">
        <x:v>ArcGIS layer listing; CSV/GeoJSON export availability not individually confirmed</x:v>
      </x:c>
      <x:c r="S31" s="4" t="str">
        <x:v>Publisher layer listing; export not downloaded</x:v>
      </x:c>
      <x:c r="T31" s="4" t="str">
        <x:v>Public listing; authentication requirements and rate limits were not payload-tested.</x:v>
      </x:c>
      <x:c r="U31" s="4" t="str">
        <x:v>Review the individual publisher's license and attribution terms before reuse.</x:v>
      </x:c>
      <x:c r="V31" s="22" t="str">
        <x:v>https://data.charlottenc.gov/datasets/d656def619664c47aa95073dcf8928cd_0/about</x:v>
      </x:c>
      <x:c r="W31" s="4" t="str">
        <x:v>2026-10-07</x:v>
      </x:c>
      <x:c r="X31" s="4" t="str">
        <x:v>No</x:v>
      </x:c>
    </x:row>
    <x:row r="32" ht="64" customHeight="1">
      <x:c r="A32" s="4" t="str">
        <x:v>US0030</x:v>
      </x:c>
      <x:c r="B32" s="4" t="str">
        <x:v>Charlotte</x:v>
      </x:c>
      <x:c r="C32" s="4" t="str">
        <x:v>NC</x:v>
      </x:c>
      <x:c r="D32" s="4" t="str">
        <x:v>Streams</x:v>
      </x:c>
      <x:c r="E32" s="4" t="str">
        <x:v>Environment</x:v>
      </x:c>
      <x:c r="F32" s="4" t="str">
        <x:v>CSV; GeoJSON; ArcGIS JSON</x:v>
      </x:c>
      <x:c r="G32" s="4" t="str">
        <x:v>A</x:v>
      </x:c>
      <x:c r="H32" s="22" t="str">
        <x:v>https://data.charlottenc.gov/datasets/charlotte::streams-1</x:v>
      </x:c>
      <x:c r="I32" s="22" t="str">
        <x:v>https://data.charlottenc.gov/api/download/v1/items/67b960de55764dbda121c740dee8fdbf/csv?layers=0</x:v>
      </x:c>
      <x:c r="J32" s="22" t="str">
        <x:v>https://meckgis.mecklenburgcountync.gov/server/rest/services/CreeksAndStreams/FeatureServer/0</x:v>
      </x:c>
      <x:c r="K32" s="4" t="str">
        <x:v>ArcGIS published download / layer API</x:v>
      </x:c>
      <x:c r="L32" s="4" t="str">
        <x:v>Check publisher for coverage and update schedule</x:v>
      </x:c>
      <x:c r="M32" s="4" t="str">
        <x:v>Mecklenburg County including Charlotte</x:v>
      </x:c>
      <x:c r="N32" s="4" t="str"/>
      <x:c r="O32" s="4" t="str">
        <x:v>ArcGIS Hub</x:v>
      </x:c>
      <x:c r="P32" s="4" t="str">
        <x:v>Top 50 city proper</x:v>
      </x:c>
      <x:c r="Q32" s="4" t="str">
        <x:v>Published URL</x:v>
      </x:c>
      <x:c r="R32" s="4" t="str">
        <x:v>Published file link or explicit publisher/registry format metadata</x:v>
      </x:c>
      <x:c r="S32" s="4" t="str">
        <x:v>Official Data.gov distribution metadata</x:v>
      </x:c>
      <x:c r="T32" s="4" t="str">
        <x:v>Public listing; authentication requirements and rate limits were not payload-tested.</x:v>
      </x:c>
      <x:c r="U32" s="4" t="str">
        <x:v>Review the individual publisher's license and attribution terms before reuse.</x:v>
      </x:c>
      <x:c r="V32" s="22" t="str">
        <x:v>https://catalog.data.gov/dataset/streams-3f96d</x:v>
      </x:c>
      <x:c r="W32" s="4" t="str">
        <x:v>2026-10-07</x:v>
      </x:c>
      <x:c r="X32" s="4" t="str">
        <x:v>No</x:v>
      </x:c>
    </x:row>
    <x:row r="33" ht="64" customHeight="1">
      <x:c r="A33" s="4" t="str">
        <x:v>US0025</x:v>
      </x:c>
      <x:c r="B33" s="4" t="str">
        <x:v>Columbus</x:v>
      </x:c>
      <x:c r="C33" s="4" t="str">
        <x:v>OH</x:v>
      </x:c>
      <x:c r="D33" s="4" t="str">
        <x:v>Code Enforcement Cases</x:v>
      </x:c>
      <x:c r="E33" s="4" t="str">
        <x:v>Buildings / enforcement</x:v>
      </x:c>
      <x:c r="F33" s="4" t="str">
        <x:v>ArcGIS JSON; CSV/GeoJSON where enabled</x:v>
      </x:c>
      <x:c r="G33" s="4" t="str">
        <x:v>C</x:v>
      </x:c>
      <x:c r="H33" s="22" t="str">
        <x:v>https://opendata.columbus.gov/datasets/columbus%3A%3Acode-enforcement-cases/about</x:v>
      </x:c>
      <x:c r="I33" s="22" t="str"/>
      <x:c r="J33" s="22" t="str"/>
      <x:c r="K33" s="4" t="str">
        <x:v>ArcGIS dataset page: Download or API</x:v>
      </x:c>
      <x:c r="L33" s="4" t="str">
        <x:v>Check publisher for coverage and update schedule</x:v>
      </x:c>
      <x:c r="M33" s="4" t="str">
        <x:v>Columbus</x:v>
      </x:c>
      <x:c r="N33" s="4" t="str"/>
      <x:c r="O33" s="4" t="str">
        <x:v>ArcGIS Hub</x:v>
      </x:c>
      <x:c r="P33" s="4" t="str">
        <x:v>Top 50 city proper</x:v>
      </x:c>
      <x:c r="Q33" s="4" t="str">
        <x:v>Dataset-specific URL; resolve layer service through page</x:v>
      </x:c>
      <x:c r="R33" s="4" t="str">
        <x:v>ArcGIS layer listing; CSV/GeoJSON export availability not individually confirmed</x:v>
      </x:c>
      <x:c r="S33" s="4" t="str">
        <x:v>Publisher layer listing; export not downloaded</x:v>
      </x:c>
      <x:c r="T33" s="4" t="str">
        <x:v>Public listing; authentication requirements and rate limits were not payload-tested.</x:v>
      </x:c>
      <x:c r="U33" s="4" t="str">
        <x:v>Review the individual publisher's license and attribution terms before reuse.</x:v>
      </x:c>
      <x:c r="V33" s="22" t="str">
        <x:v>https://opendata.columbus.gov/datasets/columbus%3A%3Acode-enforcement-cases/about</x:v>
      </x:c>
      <x:c r="W33" s="4" t="str">
        <x:v>2026-10-07</x:v>
      </x:c>
      <x:c r="X33" s="4" t="str">
        <x:v>No</x:v>
      </x:c>
    </x:row>
    <x:row r="34" ht="64" customHeight="1">
      <x:c r="A34" s="4" t="str">
        <x:v>US0026</x:v>
      </x:c>
      <x:c r="B34" s="4" t="str">
        <x:v>Columbus</x:v>
      </x:c>
      <x:c r="C34" s="4" t="str">
        <x:v>OH</x:v>
      </x:c>
      <x:c r="D34" s="4" t="str">
        <x:v>Central Ohio Bikeways</x:v>
      </x:c>
      <x:c r="E34" s="4" t="str">
        <x:v>Transport / infrastructure</x:v>
      </x:c>
      <x:c r="F34" s="4" t="str">
        <x:v>ArcGIS JSON; CSV/GeoJSON where enabled</x:v>
      </x:c>
      <x:c r="G34" s="4" t="str">
        <x:v>C</x:v>
      </x:c>
      <x:c r="H34" s="22" t="str">
        <x:v>https://opendata.columbus.gov/datasets/columbus%3A%3Acentral-ohio-bikeways/about</x:v>
      </x:c>
      <x:c r="I34" s="22" t="str"/>
      <x:c r="J34" s="22" t="str"/>
      <x:c r="K34" s="4" t="str">
        <x:v>ArcGIS dataset page: Download or API</x:v>
      </x:c>
      <x:c r="L34" s="4" t="str">
        <x:v>Check publisher for coverage and update schedule</x:v>
      </x:c>
      <x:c r="M34" s="4" t="str">
        <x:v>Central Ohio region</x:v>
      </x:c>
      <x:c r="N34" s="4" t="str"/>
      <x:c r="O34" s="4" t="str">
        <x:v>ArcGIS Hub</x:v>
      </x:c>
      <x:c r="P34" s="4" t="str">
        <x:v>Top 50 city proper</x:v>
      </x:c>
      <x:c r="Q34" s="4" t="str">
        <x:v>Dataset-specific URL; resolve layer service through page</x:v>
      </x:c>
      <x:c r="R34" s="4" t="str">
        <x:v>ArcGIS layer listing; CSV/GeoJSON export availability not individually confirmed</x:v>
      </x:c>
      <x:c r="S34" s="4" t="str">
        <x:v>Publisher layer listing; export not downloaded</x:v>
      </x:c>
      <x:c r="T34" s="4" t="str">
        <x:v>Public listing; authentication requirements and rate limits were not payload-tested.</x:v>
      </x:c>
      <x:c r="U34" s="4" t="str">
        <x:v>Review the individual publisher's license and attribution terms before reuse.</x:v>
      </x:c>
      <x:c r="V34" s="22" t="str">
        <x:v>https://opendata.columbus.gov/datasets/columbus%3A%3Acentral-ohio-bikeways/about</x:v>
      </x:c>
      <x:c r="W34" s="4" t="str">
        <x:v>2026-10-07</x:v>
      </x:c>
      <x:c r="X34" s="4" t="str">
        <x:v>No</x:v>
      </x:c>
    </x:row>
    <x:row r="35" ht="64" customHeight="1">
      <x:c r="A35" s="4" t="str">
        <x:v>US0027</x:v>
      </x:c>
      <x:c r="B35" s="4" t="str">
        <x:v>Indianapolis</x:v>
      </x:c>
      <x:c r="C35" s="4" t="str">
        <x:v>IN</x:v>
      </x:c>
      <x:c r="D35" s="4" t="str">
        <x:v>Street Centerlines</x:v>
      </x:c>
      <x:c r="E35" s="4" t="str">
        <x:v>Transport / infrastructure</x:v>
      </x:c>
      <x:c r="F35" s="4" t="str">
        <x:v>ArcGIS JSON; CSV/GeoJSON where enabled</x:v>
      </x:c>
      <x:c r="G35" s="4" t="str">
        <x:v>C</x:v>
      </x:c>
      <x:c r="H35" s="22" t="str">
        <x:v>https://data.indy.gov/datasets/street-centerlines/explore</x:v>
      </x:c>
      <x:c r="I35" s="22" t="str"/>
      <x:c r="J35" s="22" t="str"/>
      <x:c r="K35" s="4" t="str">
        <x:v>ArcGIS dataset page: Download or API</x:v>
      </x:c>
      <x:c r="L35" s="4" t="str">
        <x:v>Check publisher for coverage and update schedule</x:v>
      </x:c>
      <x:c r="M35" s="4" t="str">
        <x:v>Indianapolis and Marion County</x:v>
      </x:c>
      <x:c r="N35" s="4" t="str"/>
      <x:c r="O35" s="4" t="str">
        <x:v>ArcGIS Hub</x:v>
      </x:c>
      <x:c r="P35" s="4" t="str">
        <x:v>Top 50 city proper</x:v>
      </x:c>
      <x:c r="Q35" s="4" t="str">
        <x:v>Dataset-specific URL; resolve layer service through page</x:v>
      </x:c>
      <x:c r="R35" s="4" t="str">
        <x:v>ArcGIS layer listing; CSV/GeoJSON export availability not individually confirmed</x:v>
      </x:c>
      <x:c r="S35" s="4" t="str">
        <x:v>Publisher layer listing; export not downloaded</x:v>
      </x:c>
      <x:c r="T35" s="4" t="str">
        <x:v>Public listing; authentication requirements and rate limits were not payload-tested.</x:v>
      </x:c>
      <x:c r="U35" s="4" t="str">
        <x:v>Review the individual publisher's license and attribution terms before reuse.</x:v>
      </x:c>
      <x:c r="V35" s="22" t="str">
        <x:v>https://data.indy.gov/datasets/street-centerlines/explore</x:v>
      </x:c>
      <x:c r="W35" s="4" t="str">
        <x:v>2026-10-07</x:v>
      </x:c>
      <x:c r="X35" s="4" t="str">
        <x:v>No</x:v>
      </x:c>
    </x:row>
    <x:row r="36" ht="64" customHeight="1">
      <x:c r="A36" s="4" t="str">
        <x:v>US0028</x:v>
      </x:c>
      <x:c r="B36" s="4" t="str">
        <x:v>Indianapolis</x:v>
      </x:c>
      <x:c r="C36" s="4" t="str">
        <x:v>IN</x:v>
      </x:c>
      <x:c r="D36" s="4" t="str">
        <x:v>Building Footprints</x:v>
      </x:c>
      <x:c r="E36" s="4" t="str">
        <x:v>Buildings / land use</x:v>
      </x:c>
      <x:c r="F36" s="4" t="str">
        <x:v>ArcGIS JSON; CSV/GeoJSON where enabled</x:v>
      </x:c>
      <x:c r="G36" s="4" t="str">
        <x:v>C</x:v>
      </x:c>
      <x:c r="H36" s="22" t="str">
        <x:v>https://data.indy.gov/datasets/building-footprints/explore</x:v>
      </x:c>
      <x:c r="I36" s="22" t="str"/>
      <x:c r="J36" s="22" t="str"/>
      <x:c r="K36" s="4" t="str">
        <x:v>ArcGIS dataset page: Download or API</x:v>
      </x:c>
      <x:c r="L36" s="4" t="str">
        <x:v>Check publisher for coverage and update schedule</x:v>
      </x:c>
      <x:c r="M36" s="4" t="str">
        <x:v>Indianapolis and Marion County</x:v>
      </x:c>
      <x:c r="N36" s="4" t="str"/>
      <x:c r="O36" s="4" t="str">
        <x:v>ArcGIS Hub</x:v>
      </x:c>
      <x:c r="P36" s="4" t="str">
        <x:v>Top 50 city proper</x:v>
      </x:c>
      <x:c r="Q36" s="4" t="str">
        <x:v>Dataset-specific URL; resolve layer service through page</x:v>
      </x:c>
      <x:c r="R36" s="4" t="str">
        <x:v>ArcGIS layer listing; CSV/GeoJSON export availability not individually confirmed</x:v>
      </x:c>
      <x:c r="S36" s="4" t="str">
        <x:v>Publisher layer listing; export not downloaded</x:v>
      </x:c>
      <x:c r="T36" s="4" t="str">
        <x:v>Public listing; authentication requirements and rate limits were not payload-tested.</x:v>
      </x:c>
      <x:c r="U36" s="4" t="str">
        <x:v>Review the individual publisher's license and attribution terms before reuse.</x:v>
      </x:c>
      <x:c r="V36" s="22" t="str">
        <x:v>https://data.indy.gov/datasets/building-footprints/explore</x:v>
      </x:c>
      <x:c r="W36" s="4" t="str">
        <x:v>2026-10-07</x:v>
      </x:c>
      <x:c r="X36" s="4" t="str">
        <x:v>No</x:v>
      </x:c>
    </x:row>
    <x:row r="37" ht="80" customHeight="1">
      <x:c r="A37" s="4" t="str">
        <x:v>US0031</x:v>
      </x:c>
      <x:c r="B37" s="4" t="str">
        <x:v>San Francisco</x:v>
      </x:c>
      <x:c r="C37" s="4" t="str">
        <x:v>CA</x:v>
      </x:c>
      <x:c r="D37" s="4" t="str">
        <x:v>Police Department Incident Reports: 2018 to Present</x:v>
      </x:c>
      <x:c r="E37" s="4" t="str">
        <x:v>Public safety</x:v>
      </x:c>
      <x:c r="F37" s="4" t="str">
        <x:v>CSV; JSON</x:v>
      </x:c>
      <x:c r="G37" s="4" t="str">
        <x:v>A</x:v>
      </x:c>
      <x:c r="H37" s="22" t="str">
        <x:v>https://data.sf.gov/d/wg3w-h783</x:v>
      </x:c>
      <x:c r="I37" s="22" t="str">
        <x:v>https://data.sf.gov/api/v3/views/wg3w-h783/export.csv?accessType=DOWNLOAD</x:v>
      </x:c>
      <x:c r="J37" s="22" t="str">
        <x:v>https://data.sf.gov/resource/wg3w-h783.json</x:v>
      </x:c>
      <x:c r="K37" s="4" t="str">
        <x:v>Socrata export / API</x:v>
      </x:c>
      <x:c r="L37" s="4" t="str">
        <x:v>Check publisher for coverage and update schedule</x:v>
      </x:c>
      <x:c r="M37" s="4" t="str">
        <x:v>San Francisco</x:v>
      </x:c>
      <x:c r="N37" s="4" t="str">
        <x:v>Portal moved to data.sf.gov in September 2026. Download URL is listed in official Data.gov metrics; API follows the standard endpoint.</x:v>
      </x:c>
      <x:c r="O37" s="4" t="str">
        <x:v>Socrata</x:v>
      </x:c>
      <x:c r="P37" s="4" t="str">
        <x:v>Top 50 city proper</x:v>
      </x:c>
      <x:c r="Q37" s="4" t="str">
        <x:v>Published URL</x:v>
      </x:c>
      <x:c r="R37" s="4" t="str">
        <x:v>Published file link or explicit publisher/registry format metadata</x:v>
      </x:c>
      <x:c r="S37" s="4" t="str">
        <x:v>Official Data.gov published dataset/download mapping</x:v>
      </x:c>
      <x:c r="T37" s="4" t="str">
        <x:v>Public dataset; legacy and SODA3 access rules differ. SODA3 API queries require an app token or user authentication. Confirm export access on the dataset page.</x:v>
      </x:c>
      <x:c r="U37" s="4" t="str">
        <x:v>Review the individual publisher's license and attribution terms before reuse.</x:v>
      </x:c>
      <x:c r="V37" s="22" t="str">
        <x:v>https://data.gov/metrics/organization/san-francisco-ca/</x:v>
      </x:c>
      <x:c r="W37" s="4" t="str">
        <x:v>2026-10-07</x:v>
      </x:c>
      <x:c r="X37" s="4" t="str">
        <x:v>No</x:v>
      </x:c>
    </x:row>
    <x:row r="38" ht="80" customHeight="1">
      <x:c r="A38" s="4" t="str">
        <x:v>US0032</x:v>
      </x:c>
      <x:c r="B38" s="4" t="str">
        <x:v>San Francisco</x:v>
      </x:c>
      <x:c r="C38" s="4" t="str">
        <x:v>CA</x:v>
      </x:c>
      <x:c r="D38" s="4" t="str">
        <x:v>Air Traffic Passenger Statistics</x:v>
      </x:c>
      <x:c r="E38" s="4" t="str">
        <x:v>Transport / aviation</x:v>
      </x:c>
      <x:c r="F38" s="4" t="str">
        <x:v>CSV; JSON</x:v>
      </x:c>
      <x:c r="G38" s="4" t="str">
        <x:v>A</x:v>
      </x:c>
      <x:c r="H38" s="22" t="str">
        <x:v>https://data.sf.gov/d/rkru-6vcg</x:v>
      </x:c>
      <x:c r="I38" s="22" t="str">
        <x:v>https://data.sf.gov/api/v3/views/rkru-6vcg/export.csv?accessType=DOWNLOAD</x:v>
      </x:c>
      <x:c r="J38" s="22" t="str">
        <x:v>https://data.sf.gov/resource/rkru-6vcg.json</x:v>
      </x:c>
      <x:c r="K38" s="4" t="str">
        <x:v>Socrata export / API</x:v>
      </x:c>
      <x:c r="L38" s="4" t="str">
        <x:v>Check publisher for coverage and update schedule</x:v>
      </x:c>
      <x:c r="M38" s="4" t="str">
        <x:v>San Francisco</x:v>
      </x:c>
      <x:c r="N38" s="4" t="str">
        <x:v>Portal moved to data.sf.gov in September 2026. Download URL is listed in official Data.gov metrics; API follows the standard endpoint.</x:v>
      </x:c>
      <x:c r="O38" s="4" t="str">
        <x:v>Socrata</x:v>
      </x:c>
      <x:c r="P38" s="4" t="str">
        <x:v>Top 50 city proper</x:v>
      </x:c>
      <x:c r="Q38" s="4" t="str">
        <x:v>Published URL</x:v>
      </x:c>
      <x:c r="R38" s="4" t="str">
        <x:v>Published file link or explicit publisher/registry format metadata</x:v>
      </x:c>
      <x:c r="S38" s="4" t="str">
        <x:v>Official Data.gov published dataset/download mapping</x:v>
      </x:c>
      <x:c r="T38" s="4" t="str">
        <x:v>Public dataset; legacy and SODA3 access rules differ. SODA3 API queries require an app token or user authentication. Confirm export access on the dataset page.</x:v>
      </x:c>
      <x:c r="U38" s="4" t="str">
        <x:v>Review the individual publisher's license and attribution terms before reuse.</x:v>
      </x:c>
      <x:c r="V38" s="22" t="str">
        <x:v>https://data.gov/metrics/organization/san-francisco-ca/</x:v>
      </x:c>
      <x:c r="W38" s="4" t="str">
        <x:v>2026-10-07</x:v>
      </x:c>
      <x:c r="X38" s="4" t="str">
        <x:v>No</x:v>
      </x:c>
    </x:row>
    <x:row r="39" ht="80" customHeight="1">
      <x:c r="A39" s="4" t="str">
        <x:v>US0033</x:v>
      </x:c>
      <x:c r="B39" s="4" t="str">
        <x:v>San Francisco</x:v>
      </x:c>
      <x:c r="C39" s="4" t="str">
        <x:v>CA</x:v>
      </x:c>
      <x:c r="D39" s="4" t="str">
        <x:v>Health Inspection Scores (2024-Present)</x:v>
      </x:c>
      <x:c r="E39" s="4" t="str">
        <x:v>Health / inspections</x:v>
      </x:c>
      <x:c r="F39" s="4" t="str">
        <x:v>CSV; JSON</x:v>
      </x:c>
      <x:c r="G39" s="4" t="str">
        <x:v>A</x:v>
      </x:c>
      <x:c r="H39" s="22" t="str">
        <x:v>https://data.sf.gov/d/tvy3-wexg</x:v>
      </x:c>
      <x:c r="I39" s="22" t="str">
        <x:v>https://data.sf.gov/api/v3/views/tvy3-wexg/export.csv?accessType=DOWNLOAD</x:v>
      </x:c>
      <x:c r="J39" s="22" t="str">
        <x:v>https://data.sf.gov/resource/tvy3-wexg.json</x:v>
      </x:c>
      <x:c r="K39" s="4" t="str">
        <x:v>Socrata export / API</x:v>
      </x:c>
      <x:c r="L39" s="4" t="str">
        <x:v>Check publisher for coverage and update schedule</x:v>
      </x:c>
      <x:c r="M39" s="4" t="str">
        <x:v>San Francisco</x:v>
      </x:c>
      <x:c r="N39" s="4" t="str">
        <x:v>Portal moved to data.sf.gov in September 2026. Download URL is listed in official Data.gov metrics; API follows the standard endpoint.</x:v>
      </x:c>
      <x:c r="O39" s="4" t="str">
        <x:v>Socrata</x:v>
      </x:c>
      <x:c r="P39" s="4" t="str">
        <x:v>Top 50 city proper</x:v>
      </x:c>
      <x:c r="Q39" s="4" t="str">
        <x:v>Published URL</x:v>
      </x:c>
      <x:c r="R39" s="4" t="str">
        <x:v>Published file link or explicit publisher/registry format metadata</x:v>
      </x:c>
      <x:c r="S39" s="4" t="str">
        <x:v>Official Data.gov published dataset/download mapping</x:v>
      </x:c>
      <x:c r="T39" s="4" t="str">
        <x:v>Public dataset; legacy and SODA3 access rules differ. SODA3 API queries require an app token or user authentication. Confirm export access on the dataset page.</x:v>
      </x:c>
      <x:c r="U39" s="4" t="str">
        <x:v>Review the individual publisher's license and attribution terms before reuse.</x:v>
      </x:c>
      <x:c r="V39" s="22" t="str">
        <x:v>https://data.gov/metrics/organization/san-francisco-ca/</x:v>
      </x:c>
      <x:c r="W39" s="4" t="str">
        <x:v>2026-10-07</x:v>
      </x:c>
      <x:c r="X39" s="4" t="str">
        <x:v>No</x:v>
      </x:c>
    </x:row>
    <x:row r="40" ht="80" customHeight="1">
      <x:c r="A40" s="4" t="str">
        <x:v>US0020</x:v>
      </x:c>
      <x:c r="B40" s="4" t="str">
        <x:v>Seattle</x:v>
      </x:c>
      <x:c r="C40" s="4" t="str">
        <x:v>WA</x:v>
      </x:c>
      <x:c r="D40" s="4" t="str">
        <x:v>Building Permits</x:v>
      </x:c>
      <x:c r="E40" s="4" t="str">
        <x:v>Buildings / permits</x:v>
      </x:c>
      <x:c r="F40" s="4" t="str">
        <x:v>CSV; JSON</x:v>
      </x:c>
      <x:c r="G40" s="4" t="str">
        <x:v>B</x:v>
      </x:c>
      <x:c r="H40" s="22" t="str">
        <x:v>https://data.seattle.gov/d/76t5-zqzr</x:v>
      </x:c>
      <x:c r="I40" s="22" t="str">
        <x:v>https://data.seattle.gov/api/views/76t5-zqzr/rows.csv?accessType=DOWNLOAD</x:v>
      </x:c>
      <x:c r="J40" s="22" t="str">
        <x:v>https://data.seattle.gov/resource/76t5-zqzr.json</x:v>
      </x:c>
      <x:c r="K40" s="4" t="str">
        <x:v>Socrata bulk export / API</x:v>
      </x:c>
      <x:c r="L40" s="4" t="str">
        <x:v>Ongoing series</x:v>
      </x:c>
      <x:c r="M40" s="4" t="str">
        <x:v>Seattle</x:v>
      </x:c>
      <x:c r="N40" s="4" t="str"/>
      <x:c r="O40" s="4" t="str">
        <x:v>Socrata / ArcGIS</x:v>
      </x:c>
      <x:c r="P40" s="4" t="str">
        <x:v>Top 50 city proper</x:v>
      </x:c>
      <x:c r="Q40" s="4" t="str">
        <x:v>Standard Socrata endpoint constructed from identified dataset ID</x:v>
      </x:c>
      <x:c r="R40" s="4" t="str">
        <x:v>Identified dataset ID plus standard platform export/API format</x:v>
      </x:c>
      <x:c r="S40" s="4" t="str">
        <x:v>Publisher dataset page</x:v>
      </x:c>
      <x:c r="T40" s="4" t="str">
        <x:v>Public dataset; legacy and SODA3 access rules differ. SODA3 API queries require an app token or user authentication. Confirm export access on the dataset page.</x:v>
      </x:c>
      <x:c r="U40" s="4" t="str">
        <x:v>Review the individual publisher's license and attribution terms before reuse.</x:v>
      </x:c>
      <x:c r="V40" s="22" t="str">
        <x:v>https://data.seattle.gov/d/76t5-zqzr</x:v>
      </x:c>
      <x:c r="W40" s="4" t="str">
        <x:v>2026-10-07</x:v>
      </x:c>
      <x:c r="X40" s="4" t="str">
        <x:v>No</x:v>
      </x:c>
    </x:row>
    <x:row r="41" ht="64" customHeight="1">
      <x:c r="A41" s="4" t="str">
        <x:v>US0057</x:v>
      </x:c>
      <x:c r="B41" s="4" t="str">
        <x:v>Denver</x:v>
      </x:c>
      <x:c r="C41" s="4" t="str">
        <x:v>CO</x:v>
      </x:c>
      <x:c r="D41" s="4" t="str">
        <x:v>Crime</x:v>
      </x:c>
      <x:c r="E41" s="4" t="str">
        <x:v>Public safety</x:v>
      </x:c>
      <x:c r="F41" s="4" t="str">
        <x:v>ArcGIS JSON; CSV/GeoJSON where enabled</x:v>
      </x:c>
      <x:c r="G41" s="4" t="str">
        <x:v>C</x:v>
      </x:c>
      <x:c r="H41" s="22" t="str">
        <x:v>https://opendata-geospatialdenver.hub.arcgis.com/datasets/geospatialDenver%3A%3Acrime/about</x:v>
      </x:c>
      <x:c r="I41" s="22" t="str"/>
      <x:c r="J41" s="22" t="str"/>
      <x:c r="K41" s="4" t="str">
        <x:v>ArcGIS dataset page: Download or API</x:v>
      </x:c>
      <x:c r="L41" s="4" t="str">
        <x:v>Check publisher for coverage and update schedule</x:v>
      </x:c>
      <x:c r="M41" s="4" t="str">
        <x:v>Denver</x:v>
      </x:c>
      <x:c r="N41" s="4" t="str">
        <x:v>Rolling window: previous five calendar years plus the current year to date.</x:v>
      </x:c>
      <x:c r="O41" s="4" t="str">
        <x:v>ArcGIS Hub</x:v>
      </x:c>
      <x:c r="P41" s="4" t="str">
        <x:v>Top 50 city proper</x:v>
      </x:c>
      <x:c r="Q41" s="4" t="str">
        <x:v>Dataset-specific URL; resolve layer service through page</x:v>
      </x:c>
      <x:c r="R41" s="4" t="str">
        <x:v>ArcGIS layer listing; CSV/GeoJSON export availability not individually confirmed</x:v>
      </x:c>
      <x:c r="S41" s="4" t="str">
        <x:v>Publisher layer listing; export not downloaded</x:v>
      </x:c>
      <x:c r="T41" s="4" t="str">
        <x:v>Public listing; authentication requirements and rate limits were not payload-tested.</x:v>
      </x:c>
      <x:c r="U41" s="4" t="str">
        <x:v>Review the individual publisher's license and attribution terms before reuse.</x:v>
      </x:c>
      <x:c r="V41" s="22" t="str">
        <x:v>https://opendata-geospatialdenver.hub.arcgis.com/datasets/geospatialDenver%3A%3Acrime/about</x:v>
      </x:c>
      <x:c r="W41" s="4" t="str">
        <x:v>2026-10-07</x:v>
      </x:c>
      <x:c r="X41" s="4" t="str">
        <x:v>No</x:v>
      </x:c>
    </x:row>
    <x:row r="42" ht="64" customHeight="1">
      <x:c r="A42" s="4" t="str">
        <x:v>US0058</x:v>
      </x:c>
      <x:c r="B42" s="4" t="str">
        <x:v>Denver</x:v>
      </x:c>
      <x:c r="C42" s="4" t="str">
        <x:v>CO</x:v>
      </x:c>
      <x:c r="D42" s="4" t="str">
        <x:v>Parcels</x:v>
      </x:c>
      <x:c r="E42" s="4" t="str">
        <x:v>Buildings / land use</x:v>
      </x:c>
      <x:c r="F42" s="4" t="str">
        <x:v>ArcGIS JSON; CSV/GeoJSON where enabled</x:v>
      </x:c>
      <x:c r="G42" s="4" t="str">
        <x:v>C</x:v>
      </x:c>
      <x:c r="H42" s="22" t="str">
        <x:v>https://opendata-geospatialdenver.hub.arcgis.com/datasets/geospatialDenver%3A%3Aparcels/about</x:v>
      </x:c>
      <x:c r="I42" s="22" t="str"/>
      <x:c r="J42" s="22" t="str"/>
      <x:c r="K42" s="4" t="str">
        <x:v>ArcGIS dataset page: Download or API</x:v>
      </x:c>
      <x:c r="L42" s="4" t="str">
        <x:v>Check publisher for coverage and update schedule</x:v>
      </x:c>
      <x:c r="M42" s="4" t="str">
        <x:v>Denver</x:v>
      </x:c>
      <x:c r="N42" s="4" t="str"/>
      <x:c r="O42" s="4" t="str">
        <x:v>ArcGIS Hub</x:v>
      </x:c>
      <x:c r="P42" s="4" t="str">
        <x:v>Top 50 city proper</x:v>
      </x:c>
      <x:c r="Q42" s="4" t="str">
        <x:v>Dataset-specific URL; resolve layer service through page</x:v>
      </x:c>
      <x:c r="R42" s="4" t="str">
        <x:v>ArcGIS layer listing; CSV/GeoJSON export availability not individually confirmed</x:v>
      </x:c>
      <x:c r="S42" s="4" t="str">
        <x:v>Publisher layer listing; export not downloaded</x:v>
      </x:c>
      <x:c r="T42" s="4" t="str">
        <x:v>Public listing; authentication requirements and rate limits were not payload-tested.</x:v>
      </x:c>
      <x:c r="U42" s="4" t="str">
        <x:v>Review the individual publisher's license and attribution terms before reuse.</x:v>
      </x:c>
      <x:c r="V42" s="22" t="str">
        <x:v>https://opendata-geospatialdenver.hub.arcgis.com/datasets/geospatialDenver%3A%3Aparcels/about</x:v>
      </x:c>
      <x:c r="W42" s="4" t="str">
        <x:v>2026-10-07</x:v>
      </x:c>
      <x:c r="X42" s="4" t="str">
        <x:v>No</x:v>
      </x:c>
    </x:row>
    <x:row r="43" ht="64" customHeight="1">
      <x:c r="A43" s="4" t="str">
        <x:v>US0073</x:v>
      </x:c>
      <x:c r="B43" s="4" t="str">
        <x:v>Nashville</x:v>
      </x:c>
      <x:c r="C43" s="4" t="str">
        <x:v>TN</x:v>
      </x:c>
      <x:c r="D43" s="4" t="str">
        <x:v>Building permits issued</x:v>
      </x:c>
      <x:c r="E43" s="4" t="str">
        <x:v>Development</x:v>
      </x:c>
      <x:c r="F43" s="4" t="str">
        <x:v>ArcGIS JSON; CSV/GeoJSON where enabled</x:v>
      </x:c>
      <x:c r="G43" s="4" t="str">
        <x:v>C</x:v>
      </x:c>
      <x:c r="H43" s="22" t="str">
        <x:v>https://data.nashville.gov/datasets/Nashville%3A%3Abuilding-permits-issued/about</x:v>
      </x:c>
      <x:c r="I43" s="22" t="str"/>
      <x:c r="J43" s="22" t="str"/>
      <x:c r="K43" s="4" t="str">
        <x:v>ArcGIS dataset page: Download or API</x:v>
      </x:c>
      <x:c r="L43" s="4" t="str">
        <x:v>Check publisher for coverage and update schedule</x:v>
      </x:c>
      <x:c r="M43" s="4" t="str">
        <x:v>Metropolitan Nashville and Davidson County</x:v>
      </x:c>
      <x:c r="N43" s="4" t="str"/>
      <x:c r="O43" s="4" t="str">
        <x:v>ArcGIS Hub</x:v>
      </x:c>
      <x:c r="P43" s="4" t="str">
        <x:v>Top 50 city proper</x:v>
      </x:c>
      <x:c r="Q43" s="4" t="str">
        <x:v>Dataset-specific URL; resolve layer service through page</x:v>
      </x:c>
      <x:c r="R43" s="4" t="str">
        <x:v>ArcGIS layer listing; CSV/GeoJSON export availability not individually confirmed</x:v>
      </x:c>
      <x:c r="S43" s="4" t="str">
        <x:v>Publisher layer listing; export not downloaded</x:v>
      </x:c>
      <x:c r="T43" s="4" t="str">
        <x:v>Public listing; authentication requirements and rate limits were not payload-tested.</x:v>
      </x:c>
      <x:c r="U43" s="4" t="str">
        <x:v>Review the individual publisher's license and attribution terms before reuse.</x:v>
      </x:c>
      <x:c r="V43" s="22" t="str">
        <x:v>https://data.nashville.gov/datasets/Nashville%3A%3Abuilding-permits-issued/about</x:v>
      </x:c>
      <x:c r="W43" s="4" t="str">
        <x:v>2026-10-07</x:v>
      </x:c>
      <x:c r="X43" s="4" t="str">
        <x:v>No</x:v>
      </x:c>
    </x:row>
    <x:row r="44" ht="64" customHeight="1">
      <x:c r="A44" s="4" t="str">
        <x:v>US0074</x:v>
      </x:c>
      <x:c r="B44" s="4" t="str">
        <x:v>Nashville</x:v>
      </x:c>
      <x:c r="C44" s="4" t="str">
        <x:v>TN</x:v>
      </x:c>
      <x:c r="D44" s="4" t="str">
        <x:v>Police department incidents</x:v>
      </x:c>
      <x:c r="E44" s="4" t="str">
        <x:v>Public safety</x:v>
      </x:c>
      <x:c r="F44" s="4" t="str">
        <x:v>ArcGIS JSON; CSV/GeoJSON where enabled</x:v>
      </x:c>
      <x:c r="G44" s="4" t="str">
        <x:v>C</x:v>
      </x:c>
      <x:c r="H44" s="22" t="str">
        <x:v>https://data.nashville.gov/datasets/Nashville%3A%3Ametro-nashville-police-department-incidents/about</x:v>
      </x:c>
      <x:c r="I44" s="22" t="str"/>
      <x:c r="J44" s="22" t="str"/>
      <x:c r="K44" s="4" t="str">
        <x:v>ArcGIS dataset page: Download or API</x:v>
      </x:c>
      <x:c r="L44" s="4" t="str">
        <x:v>Check publisher for coverage and update schedule</x:v>
      </x:c>
      <x:c r="M44" s="4" t="str">
        <x:v>Metropolitan Nashville and Davidson County</x:v>
      </x:c>
      <x:c r="N44" s="4" t="str"/>
      <x:c r="O44" s="4" t="str">
        <x:v>ArcGIS Hub</x:v>
      </x:c>
      <x:c r="P44" s="4" t="str">
        <x:v>Top 50 city proper</x:v>
      </x:c>
      <x:c r="Q44" s="4" t="str">
        <x:v>Dataset-specific URL; resolve layer service through page</x:v>
      </x:c>
      <x:c r="R44" s="4" t="str">
        <x:v>ArcGIS layer listing; CSV/GeoJSON export availability not individually confirmed</x:v>
      </x:c>
      <x:c r="S44" s="4" t="str">
        <x:v>Publisher layer listing; export not downloaded</x:v>
      </x:c>
      <x:c r="T44" s="4" t="str">
        <x:v>Public listing; authentication requirements and rate limits were not payload-tested.</x:v>
      </x:c>
      <x:c r="U44" s="4" t="str">
        <x:v>Review the individual publisher's license and attribution terms before reuse.</x:v>
      </x:c>
      <x:c r="V44" s="22" t="str">
        <x:v>https://data.nashville.gov/datasets/Nashville%3A%3Ametro-nashville-police-department-incidents/about</x:v>
      </x:c>
      <x:c r="W44" s="4" t="str">
        <x:v>2026-10-07</x:v>
      </x:c>
      <x:c r="X44" s="4" t="str">
        <x:v>No</x:v>
      </x:c>
    </x:row>
    <x:row r="45" ht="64" customHeight="1">
      <x:c r="A45" s="4" t="str">
        <x:v>US0067</x:v>
      </x:c>
      <x:c r="B45" s="4" t="str">
        <x:v>Oklahoma City</x:v>
      </x:c>
      <x:c r="C45" s="4" t="str">
        <x:v>OK</x:v>
      </x:c>
      <x:c r="D45" s="4" t="str">
        <x:v>Council wards</x:v>
      </x:c>
      <x:c r="E45" s="4" t="str">
        <x:v>Boundaries</x:v>
      </x:c>
      <x:c r="F45" s="4" t="str">
        <x:v>ArcGIS JSON; CSV/GeoJSON where enabled</x:v>
      </x:c>
      <x:c r="G45" s="4" t="str">
        <x:v>C</x:v>
      </x:c>
      <x:c r="H45" s="22" t="str">
        <x:v>https://data.okc.gov/datasets/666b9654ab104ba7ac49870c66190e9c_2/explore</x:v>
      </x:c>
      <x:c r="I45" s="22" t="str"/>
      <x:c r="J45" s="22" t="str"/>
      <x:c r="K45" s="4" t="str">
        <x:v>ArcGIS dataset page: Download or API</x:v>
      </x:c>
      <x:c r="L45" s="4" t="str">
        <x:v>Check publisher for coverage and update schedule</x:v>
      </x:c>
      <x:c r="M45" s="4" t="str">
        <x:v>Oklahoma City</x:v>
      </x:c>
      <x:c r="N45" s="4" t="str"/>
      <x:c r="O45" s="4" t="str">
        <x:v>ArcGIS Hub</x:v>
      </x:c>
      <x:c r="P45" s="4" t="str">
        <x:v>Top 50 city proper</x:v>
      </x:c>
      <x:c r="Q45" s="4" t="str">
        <x:v>Dataset-specific URL; resolve layer service through page</x:v>
      </x:c>
      <x:c r="R45" s="4" t="str">
        <x:v>ArcGIS layer listing; CSV/GeoJSON export availability not individually confirmed</x:v>
      </x:c>
      <x:c r="S45" s="4" t="str">
        <x:v>Publisher layer listing; export not downloaded</x:v>
      </x:c>
      <x:c r="T45" s="4" t="str">
        <x:v>Public listing; authentication requirements and rate limits were not payload-tested.</x:v>
      </x:c>
      <x:c r="U45" s="4" t="str">
        <x:v>Review the individual publisher's license and attribution terms before reuse.</x:v>
      </x:c>
      <x:c r="V45" s="22" t="str">
        <x:v>https://data.okc.gov/datasets/666b9654ab104ba7ac49870c66190e9c_2/explore</x:v>
      </x:c>
      <x:c r="W45" s="4" t="str">
        <x:v>2026-10-07</x:v>
      </x:c>
      <x:c r="X45" s="4" t="str">
        <x:v>No</x:v>
      </x:c>
    </x:row>
    <x:row r="46" ht="64" customHeight="1">
      <x:c r="A46" s="4" t="str">
        <x:v>US0068</x:v>
      </x:c>
      <x:c r="B46" s="4" t="str">
        <x:v>Washington</x:v>
      </x:c>
      <x:c r="C46" s="4" t="str">
        <x:v>DC</x:v>
      </x:c>
      <x:c r="D46" s="4" t="str">
        <x:v>Building footprints</x:v>
      </x:c>
      <x:c r="E46" s="4" t="str">
        <x:v>Built environment</x:v>
      </x:c>
      <x:c r="F46" s="4" t="str">
        <x:v>ArcGIS JSON; CSV/GeoJSON where enabled</x:v>
      </x:c>
      <x:c r="G46" s="4" t="str">
        <x:v>C</x:v>
      </x:c>
      <x:c r="H46" s="22" t="str">
        <x:v>https://opendata.dc.gov/datasets/building-footprints</x:v>
      </x:c>
      <x:c r="I46" s="22" t="str"/>
      <x:c r="J46" s="22" t="str"/>
      <x:c r="K46" s="4" t="str">
        <x:v>ArcGIS dataset page: Download or API</x:v>
      </x:c>
      <x:c r="L46" s="4" t="str">
        <x:v>Check publisher for coverage and update schedule</x:v>
      </x:c>
      <x:c r="M46" s="4" t="str">
        <x:v>Washington</x:v>
      </x:c>
      <x:c r="N46" s="4" t="str"/>
      <x:c r="O46" s="4" t="str">
        <x:v>ArcGIS Hub</x:v>
      </x:c>
      <x:c r="P46" s="4" t="str">
        <x:v>Top 50 city proper</x:v>
      </x:c>
      <x:c r="Q46" s="4" t="str">
        <x:v>Dataset-specific URL; resolve layer service through page</x:v>
      </x:c>
      <x:c r="R46" s="4" t="str">
        <x:v>ArcGIS layer listing; CSV/GeoJSON export availability not individually confirmed</x:v>
      </x:c>
      <x:c r="S46" s="4" t="str">
        <x:v>Publisher layer listing; export not downloaded</x:v>
      </x:c>
      <x:c r="T46" s="4" t="str">
        <x:v>Public listing; authentication requirements and rate limits were not payload-tested.</x:v>
      </x:c>
      <x:c r="U46" s="4" t="str">
        <x:v>Review the individual publisher's license and attribution terms before reuse.</x:v>
      </x:c>
      <x:c r="V46" s="22" t="str">
        <x:v>https://opendata.dc.gov/datasets/building-footprints</x:v>
      </x:c>
      <x:c r="W46" s="4" t="str">
        <x:v>2026-10-07</x:v>
      </x:c>
      <x:c r="X46" s="4" t="str">
        <x:v>No</x:v>
      </x:c>
    </x:row>
    <x:row r="47" ht="64" customHeight="1">
      <x:c r="A47" s="4" t="str">
        <x:v>US0069</x:v>
      </x:c>
      <x:c r="B47" s="4" t="str">
        <x:v>Washington</x:v>
      </x:c>
      <x:c r="C47" s="4" t="str">
        <x:v>DC</x:v>
      </x:c>
      <x:c r="D47" s="4" t="str">
        <x:v>Grocery store locations</x:v>
      </x:c>
      <x:c r="E47" s="4" t="str">
        <x:v>Business</x:v>
      </x:c>
      <x:c r="F47" s="4" t="str">
        <x:v>ArcGIS JSON; CSV/GeoJSON where enabled</x:v>
      </x:c>
      <x:c r="G47" s="4" t="str">
        <x:v>C</x:v>
      </x:c>
      <x:c r="H47" s="22" t="str">
        <x:v>https://opendata.dc.gov/datasets/DCGIS%3A%3Agrocery-store-locations</x:v>
      </x:c>
      <x:c r="I47" s="22" t="str"/>
      <x:c r="J47" s="22" t="str"/>
      <x:c r="K47" s="4" t="str">
        <x:v>ArcGIS dataset page: Download or API</x:v>
      </x:c>
      <x:c r="L47" s="4" t="str">
        <x:v>Check publisher for coverage and update schedule</x:v>
      </x:c>
      <x:c r="M47" s="4" t="str">
        <x:v>Washington</x:v>
      </x:c>
      <x:c r="N47" s="4" t="str">
        <x:v>May include closed as well as operating stores; inspect status fields.</x:v>
      </x:c>
      <x:c r="O47" s="4" t="str">
        <x:v>ArcGIS Hub</x:v>
      </x:c>
      <x:c r="P47" s="4" t="str">
        <x:v>Top 50 city proper</x:v>
      </x:c>
      <x:c r="Q47" s="4" t="str">
        <x:v>Dataset-specific URL; resolve layer service through page</x:v>
      </x:c>
      <x:c r="R47" s="4" t="str">
        <x:v>ArcGIS layer listing; CSV/GeoJSON export availability not individually confirmed</x:v>
      </x:c>
      <x:c r="S47" s="4" t="str">
        <x:v>Publisher layer listing; export not downloaded</x:v>
      </x:c>
      <x:c r="T47" s="4" t="str">
        <x:v>Public listing; authentication requirements and rate limits were not payload-tested.</x:v>
      </x:c>
      <x:c r="U47" s="4" t="str">
        <x:v>Review the individual publisher's license and attribution terms before reuse.</x:v>
      </x:c>
      <x:c r="V47" s="22" t="str">
        <x:v>https://opendata.dc.gov/datasets/DCGIS%3A%3Agrocery-store-locations</x:v>
      </x:c>
      <x:c r="W47" s="4" t="str">
        <x:v>2026-10-07</x:v>
      </x:c>
      <x:c r="X47" s="4" t="str">
        <x:v>No</x:v>
      </x:c>
    </x:row>
    <x:row r="48" ht="64" customHeight="1">
      <x:c r="A48" s="4" t="str">
        <x:v>US0066</x:v>
      </x:c>
      <x:c r="B48" s="4" t="str">
        <x:v>El Paso</x:v>
      </x:c>
      <x:c r="C48" s="4" t="str">
        <x:v>TX</x:v>
      </x:c>
      <x:c r="D48" s="4" t="str">
        <x:v>Zoning</x:v>
      </x:c>
      <x:c r="E48" s="4" t="str">
        <x:v>Land use</x:v>
      </x:c>
      <x:c r="F48" s="4" t="str">
        <x:v>ArcGIS JSON; CSV/GeoJSON where enabled</x:v>
      </x:c>
      <x:c r="G48" s="4" t="str">
        <x:v>C</x:v>
      </x:c>
      <x:c r="H48" s="22" t="str">
        <x:v>https://opendata.elpasotexas.gov/datasets/b3caef6839ce4d63ac7896573474d172_0</x:v>
      </x:c>
      <x:c r="I48" s="22" t="str"/>
      <x:c r="J48" s="22" t="str"/>
      <x:c r="K48" s="4" t="str">
        <x:v>ArcGIS dataset page: Download or API</x:v>
      </x:c>
      <x:c r="L48" s="4" t="str">
        <x:v>Check publisher for coverage and update schedule</x:v>
      </x:c>
      <x:c r="M48" s="4" t="str">
        <x:v>El Paso</x:v>
      </x:c>
      <x:c r="N48" s="4" t="str"/>
      <x:c r="O48" s="4" t="str">
        <x:v>ArcGIS Hub</x:v>
      </x:c>
      <x:c r="P48" s="4" t="str">
        <x:v>Top 50 city proper</x:v>
      </x:c>
      <x:c r="Q48" s="4" t="str">
        <x:v>Dataset-specific URL; resolve layer service through page</x:v>
      </x:c>
      <x:c r="R48" s="4" t="str">
        <x:v>ArcGIS layer listing; CSV/GeoJSON export availability not individually confirmed</x:v>
      </x:c>
      <x:c r="S48" s="4" t="str">
        <x:v>Publisher layer listing; export not downloaded</x:v>
      </x:c>
      <x:c r="T48" s="4" t="str">
        <x:v>Public listing; authentication requirements and rate limits were not payload-tested.</x:v>
      </x:c>
      <x:c r="U48" s="4" t="str">
        <x:v>Review the individual publisher's license and attribution terms before reuse.</x:v>
      </x:c>
      <x:c r="V48" s="22" t="str">
        <x:v>https://opendata.elpasotexas.gov/datasets/b3caef6839ce4d63ac7896573474d172_0</x:v>
      </x:c>
      <x:c r="W48" s="4" t="str">
        <x:v>2026-10-07</x:v>
      </x:c>
      <x:c r="X48" s="4" t="str">
        <x:v>No</x:v>
      </x:c>
    </x:row>
    <x:row r="49" ht="64" customHeight="1">
      <x:c r="A49" s="4" t="str">
        <x:v>US0078</x:v>
      </x:c>
      <x:c r="B49" s="4" t="str">
        <x:v>Las Vegas</x:v>
      </x:c>
      <x:c r="C49" s="4" t="str">
        <x:v>NV</x:v>
      </x:c>
      <x:c r="D49" s="4" t="str">
        <x:v>Traffic counts</x:v>
      </x:c>
      <x:c r="E49" s="4" t="str">
        <x:v>Transportation</x:v>
      </x:c>
      <x:c r="F49" s="4" t="str">
        <x:v>ArcGIS JSON; CSV/GeoJSON where enabled</x:v>
      </x:c>
      <x:c r="G49" s="4" t="str">
        <x:v>C</x:v>
      </x:c>
      <x:c r="H49" s="22" t="str">
        <x:v>https://geocommons-lasvegas.opendata.arcgis.com/datasets/490f7518f1b14535af07e07eefd985dc_1/about</x:v>
      </x:c>
      <x:c r="I49" s="22" t="str"/>
      <x:c r="J49" s="22" t="str"/>
      <x:c r="K49" s="4" t="str">
        <x:v>ArcGIS dataset page: Download or API</x:v>
      </x:c>
      <x:c r="L49" s="4" t="str">
        <x:v>Check publisher for coverage and update schedule</x:v>
      </x:c>
      <x:c r="M49" s="4" t="str">
        <x:v>Las Vegas</x:v>
      </x:c>
      <x:c r="N49" s="4" t="str"/>
      <x:c r="O49" s="4" t="str">
        <x:v>ArcGIS Hub</x:v>
      </x:c>
      <x:c r="P49" s="4" t="str">
        <x:v>Top 50 city proper</x:v>
      </x:c>
      <x:c r="Q49" s="4" t="str">
        <x:v>Dataset-specific URL; resolve layer service through page</x:v>
      </x:c>
      <x:c r="R49" s="4" t="str">
        <x:v>ArcGIS layer listing; CSV/GeoJSON export availability not individually confirmed</x:v>
      </x:c>
      <x:c r="S49" s="4" t="str">
        <x:v>Publisher layer listing; export not downloaded</x:v>
      </x:c>
      <x:c r="T49" s="4" t="str">
        <x:v>Public listing; authentication requirements and rate limits were not payload-tested.</x:v>
      </x:c>
      <x:c r="U49" s="4" t="str">
        <x:v>Review the individual publisher's license and attribution terms before reuse.</x:v>
      </x:c>
      <x:c r="V49" s="22" t="str">
        <x:v>https://geocommons-lasvegas.opendata.arcgis.com/datasets/490f7518f1b14535af07e07eefd985dc_1/about</x:v>
      </x:c>
      <x:c r="W49" s="4" t="str">
        <x:v>2026-10-07</x:v>
      </x:c>
      <x:c r="X49" s="4" t="str">
        <x:v>No</x:v>
      </x:c>
    </x:row>
    <x:row r="50" ht="80" customHeight="1">
      <x:c r="A50" s="4" t="str">
        <x:v>US0075</x:v>
      </x:c>
      <x:c r="B50" s="4" t="str">
        <x:v>Boston</x:v>
      </x:c>
      <x:c r="C50" s="4" t="str">
        <x:v>MA</x:v>
      </x:c>
      <x:c r="D50" s="4" t="str">
        <x:v>Approved building permits</x:v>
      </x:c>
      <x:c r="E50" s="4" t="str">
        <x:v>Development</x:v>
      </x:c>
      <x:c r="F50" s="4" t="str">
        <x:v>CSV</x:v>
      </x:c>
      <x:c r="G50" s="4" t="str">
        <x:v>C</x:v>
      </x:c>
      <x:c r="H50" s="22" t="str">
        <x:v>https://data.boston.gov/dataset/approved-building-permits</x:v>
      </x:c>
      <x:c r="I50" s="22" t="str"/>
      <x:c r="J50" s="22" t="str">
        <x:v>https://data.boston.gov/api/3/action/package_show?id=approved-building-permits</x:v>
      </x:c>
      <x:c r="K50" s="4" t="str">
        <x:v>CKAN dataset resources; select CSV</x:v>
      </x:c>
      <x:c r="L50" s="4" t="str">
        <x:v>Check publisher for coverage and update schedule</x:v>
      </x:c>
      <x:c r="M50" s="4" t="str">
        <x:v>Boston</x:v>
      </x:c>
      <x:c r="N50" s="4" t="str">
        <x:v>2009 onward according to publisher. Page indexed, but interactive access returned an error during research. CKAN URL returns metadata, not permit rows.</x:v>
      </x:c>
      <x:c r="O50" s="4" t="str">
        <x:v>CKAN</x:v>
      </x:c>
      <x:c r="P50" s="4" t="str">
        <x:v>Top 50 city proper</x:v>
      </x:c>
      <x:c r="Q50" s="4" t="str">
        <x:v>Metadata API constructed from identified CKAN slug</x:v>
      </x:c>
      <x:c r="R50" s="4" t="str">
        <x:v>Publisher resource listing; select the CSV/GeoJSON resource</x:v>
      </x:c>
      <x:c r="S50" s="4" t="str">
        <x:v>Publisher dataset and resource indexed; live page fetch failed</x:v>
      </x:c>
      <x:c r="T50" s="4" t="str">
        <x:v>Public listing; authentication requirements and rate limits were not payload-tested.</x:v>
      </x:c>
      <x:c r="U50" s="4" t="str">
        <x:v>Review the individual publisher's license and attribution terms before reuse.</x:v>
      </x:c>
      <x:c r="V50" s="22" t="str">
        <x:v>https://data.boston.gov/dataset/approved-building-permits</x:v>
      </x:c>
      <x:c r="W50" s="4" t="str">
        <x:v>2026-10-07</x:v>
      </x:c>
      <x:c r="X50" s="4" t="str">
        <x:v>No</x:v>
      </x:c>
    </x:row>
    <x:row r="51" ht="64" customHeight="1">
      <x:c r="A51" s="4" t="str">
        <x:v>US0035</x:v>
      </x:c>
      <x:c r="B51" s="4" t="str">
        <x:v>Detroit</x:v>
      </x:c>
      <x:c r="C51" s="4" t="str">
        <x:v>MI</x:v>
      </x:c>
      <x:c r="D51" s="4" t="str">
        <x:v>Demolition Permits</x:v>
      </x:c>
      <x:c r="E51" s="4" t="str">
        <x:v>Buildings / permits</x:v>
      </x:c>
      <x:c r="F51" s="4" t="str">
        <x:v>ArcGIS JSON; CSV/GeoJSON where enabled</x:v>
      </x:c>
      <x:c r="G51" s="4" t="str">
        <x:v>C</x:v>
      </x:c>
      <x:c r="H51" s="22" t="str">
        <x:v>https://data.detroitmi.gov/datasets/detroitmi%3A%3Ademolition-permits-1</x:v>
      </x:c>
      <x:c r="I51" s="22" t="str"/>
      <x:c r="J51" s="22" t="str"/>
      <x:c r="K51" s="4" t="str">
        <x:v>ArcGIS dataset page: Download or API</x:v>
      </x:c>
      <x:c r="L51" s="4" t="str">
        <x:v>Check publisher for coverage and update schedule</x:v>
      </x:c>
      <x:c r="M51" s="4" t="str">
        <x:v>Detroit</x:v>
      </x:c>
      <x:c r="N51" s="4" t="str"/>
      <x:c r="O51" s="4" t="str">
        <x:v>ArcGIS Hub</x:v>
      </x:c>
      <x:c r="P51" s="4" t="str">
        <x:v>Top 50 city proper</x:v>
      </x:c>
      <x:c r="Q51" s="4" t="str">
        <x:v>Dataset-specific URL; resolve layer service through page</x:v>
      </x:c>
      <x:c r="R51" s="4" t="str">
        <x:v>ArcGIS layer listing; CSV/GeoJSON export availability not individually confirmed</x:v>
      </x:c>
      <x:c r="S51" s="4" t="str">
        <x:v>Publisher layer listing; export not downloaded</x:v>
      </x:c>
      <x:c r="T51" s="4" t="str">
        <x:v>Public listing; authentication requirements and rate limits were not payload-tested.</x:v>
      </x:c>
      <x:c r="U51" s="4" t="str">
        <x:v>Review the individual publisher's license and attribution terms before reuse.</x:v>
      </x:c>
      <x:c r="V51" s="22" t="str">
        <x:v>https://data.detroitmi.gov/datasets/detroitmi%3A%3Ademolition-permits-1</x:v>
      </x:c>
      <x:c r="W51" s="4" t="str">
        <x:v>2026-10-07</x:v>
      </x:c>
      <x:c r="X51" s="4" t="str">
        <x:v>No</x:v>
      </x:c>
    </x:row>
    <x:row r="52" ht="64" customHeight="1">
      <x:c r="A52" s="4" t="str">
        <x:v>US0036</x:v>
      </x:c>
      <x:c r="B52" s="4" t="str">
        <x:v>Detroit</x:v>
      </x:c>
      <x:c r="C52" s="4" t="str">
        <x:v>MI</x:v>
      </x:c>
      <x:c r="D52" s="4" t="str">
        <x:v>Active Commercial Certificates of Compliance</x:v>
      </x:c>
      <x:c r="E52" s="4" t="str">
        <x:v>Buildings / enforcement</x:v>
      </x:c>
      <x:c r="F52" s="4" t="str">
        <x:v>ArcGIS JSON; CSV/GeoJSON where enabled</x:v>
      </x:c>
      <x:c r="G52" s="4" t="str">
        <x:v>C</x:v>
      </x:c>
      <x:c r="H52" s="22" t="str">
        <x:v>https://data.detroitmi.gov/datasets/detroitmi%3A%3Aactive-commercial-certificates-of-compliance</x:v>
      </x:c>
      <x:c r="I52" s="22" t="str"/>
      <x:c r="J52" s="22" t="str"/>
      <x:c r="K52" s="4" t="str">
        <x:v>ArcGIS dataset page: Download or API</x:v>
      </x:c>
      <x:c r="L52" s="4" t="str">
        <x:v>Check publisher for coverage and update schedule</x:v>
      </x:c>
      <x:c r="M52" s="4" t="str">
        <x:v>Detroit</x:v>
      </x:c>
      <x:c r="N52" s="4" t="str"/>
      <x:c r="O52" s="4" t="str">
        <x:v>ArcGIS Hub</x:v>
      </x:c>
      <x:c r="P52" s="4" t="str">
        <x:v>Top 50 city proper</x:v>
      </x:c>
      <x:c r="Q52" s="4" t="str">
        <x:v>Dataset-specific URL; resolve layer service through page</x:v>
      </x:c>
      <x:c r="R52" s="4" t="str">
        <x:v>ArcGIS layer listing; CSV/GeoJSON export availability not individually confirmed</x:v>
      </x:c>
      <x:c r="S52" s="4" t="str">
        <x:v>Publisher layer listing; export not downloaded</x:v>
      </x:c>
      <x:c r="T52" s="4" t="str">
        <x:v>Public listing; authentication requirements and rate limits were not payload-tested.</x:v>
      </x:c>
      <x:c r="U52" s="4" t="str">
        <x:v>Review the individual publisher's license and attribution terms before reuse.</x:v>
      </x:c>
      <x:c r="V52" s="22" t="str">
        <x:v>https://data.detroitmi.gov/datasets/detroitmi%3A%3Aactive-commercial-certificates-of-compliance</x:v>
      </x:c>
      <x:c r="W52" s="4" t="str">
        <x:v>2026-10-07</x:v>
      </x:c>
      <x:c r="X52" s="4" t="str">
        <x:v>No</x:v>
      </x:c>
    </x:row>
    <x:row r="53" ht="64" customHeight="1">
      <x:c r="A53" s="4" t="str">
        <x:v>US0039</x:v>
      </x:c>
      <x:c r="B53" s="4" t="str">
        <x:v>Louisville</x:v>
      </x:c>
      <x:c r="C53" s="4" t="str">
        <x:v>KY</x:v>
      </x:c>
      <x:c r="D53" s="4" t="str">
        <x:v>Active Permits</x:v>
      </x:c>
      <x:c r="E53" s="4" t="str">
        <x:v>Buildings / permits</x:v>
      </x:c>
      <x:c r="F53" s="4" t="str">
        <x:v>ArcGIS JSON; CSV/GeoJSON where enabled</x:v>
      </x:c>
      <x:c r="G53" s="4" t="str">
        <x:v>C</x:v>
      </x:c>
      <x:c r="H53" s="22" t="str">
        <x:v>https://data.louisvilleky.gov/datasets/7c360f59e51641f28d26b8898f27b0c3_0/explore</x:v>
      </x:c>
      <x:c r="I53" s="22" t="str"/>
      <x:c r="J53" s="22" t="str"/>
      <x:c r="K53" s="4" t="str">
        <x:v>ArcGIS dataset page: Download or API</x:v>
      </x:c>
      <x:c r="L53" s="4" t="str">
        <x:v>Check publisher for coverage and update schedule</x:v>
      </x:c>
      <x:c r="M53" s="4" t="str">
        <x:v>Louisville Metro</x:v>
      </x:c>
      <x:c r="N53" s="4" t="str"/>
      <x:c r="O53" s="4" t="str">
        <x:v>ArcGIS Hub</x:v>
      </x:c>
      <x:c r="P53" s="4" t="str">
        <x:v>Top 50 city proper</x:v>
      </x:c>
      <x:c r="Q53" s="4" t="str">
        <x:v>Dataset-specific URL; resolve layer service through page</x:v>
      </x:c>
      <x:c r="R53" s="4" t="str">
        <x:v>ArcGIS layer listing; CSV/GeoJSON export availability not individually confirmed</x:v>
      </x:c>
      <x:c r="S53" s="4" t="str">
        <x:v>Publisher layer listing; export not downloaded</x:v>
      </x:c>
      <x:c r="T53" s="4" t="str">
        <x:v>Public listing; authentication requirements and rate limits were not payload-tested.</x:v>
      </x:c>
      <x:c r="U53" s="4" t="str">
        <x:v>Review the individual publisher's license and attribution terms before reuse.</x:v>
      </x:c>
      <x:c r="V53" s="22" t="str">
        <x:v>https://data.louisvilleky.gov/datasets/7c360f59e51641f28d26b8898f27b0c3_0/explore</x:v>
      </x:c>
      <x:c r="W53" s="4" t="str">
        <x:v>2026-10-07</x:v>
      </x:c>
      <x:c r="X53" s="4" t="str">
        <x:v>No</x:v>
      </x:c>
    </x:row>
    <x:row r="54" ht="64" customHeight="1">
      <x:c r="A54" s="4" t="str">
        <x:v>US0040</x:v>
      </x:c>
      <x:c r="B54" s="4" t="str">
        <x:v>Louisville</x:v>
      </x:c>
      <x:c r="C54" s="4" t="str">
        <x:v>KY</x:v>
      </x:c>
      <x:c r="D54" s="4" t="str">
        <x:v>Employee Salary Data</x:v>
      </x:c>
      <x:c r="E54" s="4" t="str">
        <x:v>Government / finance</x:v>
      </x:c>
      <x:c r="F54" s="4" t="str">
        <x:v>ArcGIS JSON; CSV/GeoJSON where enabled</x:v>
      </x:c>
      <x:c r="G54" s="4" t="str">
        <x:v>C</x:v>
      </x:c>
      <x:c r="H54" s="22" t="str">
        <x:v>https://data.louisvilleky.gov/datasets/louisville-metro-ky-employee-salary-data/explore</x:v>
      </x:c>
      <x:c r="I54" s="22" t="str"/>
      <x:c r="J54" s="22" t="str"/>
      <x:c r="K54" s="4" t="str">
        <x:v>ArcGIS dataset page: Download or API</x:v>
      </x:c>
      <x:c r="L54" s="4" t="str">
        <x:v>Check publisher for coverage and update schedule</x:v>
      </x:c>
      <x:c r="M54" s="4" t="str">
        <x:v>Louisville Metro</x:v>
      </x:c>
      <x:c r="N54" s="4" t="str"/>
      <x:c r="O54" s="4" t="str">
        <x:v>ArcGIS Hub</x:v>
      </x:c>
      <x:c r="P54" s="4" t="str">
        <x:v>Top 50 city proper</x:v>
      </x:c>
      <x:c r="Q54" s="4" t="str">
        <x:v>Dataset-specific URL; resolve layer service through page</x:v>
      </x:c>
      <x:c r="R54" s="4" t="str">
        <x:v>ArcGIS layer listing; CSV/GeoJSON export availability not individually confirmed</x:v>
      </x:c>
      <x:c r="S54" s="4" t="str">
        <x:v>Publisher layer listing; export not downloaded</x:v>
      </x:c>
      <x:c r="T54" s="4" t="str">
        <x:v>Public listing; authentication requirements and rate limits were not payload-tested.</x:v>
      </x:c>
      <x:c r="U54" s="4" t="str">
        <x:v>Review the individual publisher's license and attribution terms before reuse.</x:v>
      </x:c>
      <x:c r="V54" s="22" t="str">
        <x:v>https://data.louisvilleky.gov/datasets/louisville-metro-ky-employee-salary-data/explore</x:v>
      </x:c>
      <x:c r="W54" s="4" t="str">
        <x:v>2026-10-07</x:v>
      </x:c>
      <x:c r="X54" s="4" t="str">
        <x:v>No</x:v>
      </x:c>
    </x:row>
    <x:row r="55" ht="64" customHeight="1">
      <x:c r="A55" s="4" t="str">
        <x:v>US0041</x:v>
      </x:c>
      <x:c r="B55" s="4" t="str">
        <x:v>Portland</x:v>
      </x:c>
      <x:c r="C55" s="4" t="str">
        <x:v>OR</x:v>
      </x:c>
      <x:c r="D55" s="4" t="str">
        <x:v>Street Tree Inventory - Active Records</x:v>
      </x:c>
      <x:c r="E55" s="4" t="str">
        <x:v>Environment</x:v>
      </x:c>
      <x:c r="F55" s="4" t="str">
        <x:v>ArcGIS JSON; CSV/GeoJSON where enabled</x:v>
      </x:c>
      <x:c r="G55" s="4" t="str">
        <x:v>C</x:v>
      </x:c>
      <x:c r="H55" s="22" t="str">
        <x:v>https://gis-pdx.opendata.arcgis.com/datasets/PDX%3A%3Astreet-tree-inventory-active-records/about</x:v>
      </x:c>
      <x:c r="I55" s="22" t="str"/>
      <x:c r="J55" s="22" t="str"/>
      <x:c r="K55" s="4" t="str">
        <x:v>ArcGIS dataset page: Download or API</x:v>
      </x:c>
      <x:c r="L55" s="4" t="str">
        <x:v>Check publisher for coverage and update schedule</x:v>
      </x:c>
      <x:c r="M55" s="4" t="str">
        <x:v>Portland</x:v>
      </x:c>
      <x:c r="N55" s="4" t="str"/>
      <x:c r="O55" s="4" t="str">
        <x:v>ArcGIS Hub</x:v>
      </x:c>
      <x:c r="P55" s="4" t="str">
        <x:v>Top 50 city proper</x:v>
      </x:c>
      <x:c r="Q55" s="4" t="str">
        <x:v>Dataset-specific URL; resolve layer service through page</x:v>
      </x:c>
      <x:c r="R55" s="4" t="str">
        <x:v>ArcGIS layer listing; CSV/GeoJSON export availability not individually confirmed</x:v>
      </x:c>
      <x:c r="S55" s="4" t="str">
        <x:v>Publisher layer listing; export not downloaded</x:v>
      </x:c>
      <x:c r="T55" s="4" t="str">
        <x:v>Public listing; authentication requirements and rate limits were not payload-tested.</x:v>
      </x:c>
      <x:c r="U55" s="4" t="str">
        <x:v>Review the individual publisher's license and attribution terms before reuse.</x:v>
      </x:c>
      <x:c r="V55" s="22" t="str">
        <x:v>https://gis-pdx.opendata.arcgis.com/datasets/PDX%3A%3Astreet-tree-inventory-active-records/about</x:v>
      </x:c>
      <x:c r="W55" s="4" t="str">
        <x:v>2026-10-07</x:v>
      </x:c>
      <x:c r="X55" s="4" t="str">
        <x:v>No</x:v>
      </x:c>
    </x:row>
    <x:row r="56" ht="64" customHeight="1">
      <x:c r="A56" s="4" t="str">
        <x:v>US0042</x:v>
      </x:c>
      <x:c r="B56" s="4" t="str">
        <x:v>Portland</x:v>
      </x:c>
      <x:c r="C56" s="4" t="str">
        <x:v>OR</x:v>
      </x:c>
      <x:c r="D56" s="4" t="str">
        <x:v>Building Footprints</x:v>
      </x:c>
      <x:c r="E56" s="4" t="str">
        <x:v>Buildings / land use</x:v>
      </x:c>
      <x:c r="F56" s="4" t="str">
        <x:v>ArcGIS JSON; CSV/GeoJSON where enabled</x:v>
      </x:c>
      <x:c r="G56" s="4" t="str">
        <x:v>C</x:v>
      </x:c>
      <x:c r="H56" s="22" t="str">
        <x:v>https://gis-pdx.opendata.arcgis.com/datasets/building-footprints</x:v>
      </x:c>
      <x:c r="I56" s="22" t="str"/>
      <x:c r="J56" s="22" t="str"/>
      <x:c r="K56" s="4" t="str">
        <x:v>ArcGIS dataset page: Download or API</x:v>
      </x:c>
      <x:c r="L56" s="4" t="str">
        <x:v>Check publisher for coverage and update schedule</x:v>
      </x:c>
      <x:c r="M56" s="4" t="str">
        <x:v>Portland</x:v>
      </x:c>
      <x:c r="N56" s="4" t="str"/>
      <x:c r="O56" s="4" t="str">
        <x:v>ArcGIS Hub</x:v>
      </x:c>
      <x:c r="P56" s="4" t="str">
        <x:v>Top 50 city proper</x:v>
      </x:c>
      <x:c r="Q56" s="4" t="str">
        <x:v>Dataset-specific URL; resolve layer service through page</x:v>
      </x:c>
      <x:c r="R56" s="4" t="str">
        <x:v>ArcGIS layer listing; CSV/GeoJSON export availability not individually confirmed</x:v>
      </x:c>
      <x:c r="S56" s="4" t="str">
        <x:v>Publisher layer listing; export not downloaded</x:v>
      </x:c>
      <x:c r="T56" s="4" t="str">
        <x:v>Public listing; authentication requirements and rate limits were not payload-tested.</x:v>
      </x:c>
      <x:c r="U56" s="4" t="str">
        <x:v>Review the individual publisher's license and attribution terms before reuse.</x:v>
      </x:c>
      <x:c r="V56" s="22" t="str">
        <x:v>https://gis-pdx.opendata.arcgis.com/datasets/building-footprints</x:v>
      </x:c>
      <x:c r="W56" s="4" t="str">
        <x:v>2026-10-07</x:v>
      </x:c>
      <x:c r="X56" s="4" t="str">
        <x:v>No</x:v>
      </x:c>
    </x:row>
    <x:row r="57" ht="64" customHeight="1">
      <x:c r="A57" s="4" t="str">
        <x:v>US0082</x:v>
      </x:c>
      <x:c r="B57" s="4" t="str">
        <x:v>Memphis</x:v>
      </x:c>
      <x:c r="C57" s="4" t="str">
        <x:v>TN</x:v>
      </x:c>
      <x:c r="D57" s="4" t="str">
        <x:v>Police public safety incidents</x:v>
      </x:c>
      <x:c r="E57" s="4" t="str">
        <x:v>Public safety</x:v>
      </x:c>
      <x:c r="F57" s="4" t="str">
        <x:v>ArcGIS JSON; CSV/GeoJSON where enabled</x:v>
      </x:c>
      <x:c r="G57" s="4" t="str">
        <x:v>C</x:v>
      </x:c>
      <x:c r="H57" s="22" t="str">
        <x:v>https://data.memphistn.gov/datasets/12b51ce4d5a14493ab6cc05d32e0c1ee_0/explore</x:v>
      </x:c>
      <x:c r="I57" s="22" t="str"/>
      <x:c r="J57" s="22" t="str"/>
      <x:c r="K57" s="4" t="str">
        <x:v>ArcGIS dataset page: Download or API</x:v>
      </x:c>
      <x:c r="L57" s="4" t="str">
        <x:v>Check publisher for coverage and update schedule</x:v>
      </x:c>
      <x:c r="M57" s="4" t="str">
        <x:v>Memphis</x:v>
      </x:c>
      <x:c r="N57" s="4" t="str">
        <x:v>Publisher says crime reports from 2019 onward; updated each morning.</x:v>
      </x:c>
      <x:c r="O57" s="4" t="str">
        <x:v>ArcGIS Hub</x:v>
      </x:c>
      <x:c r="P57" s="4" t="str">
        <x:v>Top 50 city proper</x:v>
      </x:c>
      <x:c r="Q57" s="4" t="str">
        <x:v>Dataset-specific URL; resolve layer service through page</x:v>
      </x:c>
      <x:c r="R57" s="4" t="str">
        <x:v>ArcGIS layer listing; CSV/GeoJSON export availability not individually confirmed</x:v>
      </x:c>
      <x:c r="S57" s="4" t="str">
        <x:v>Publisher layer listing; export not downloaded</x:v>
      </x:c>
      <x:c r="T57" s="4" t="str">
        <x:v>Public listing; authentication requirements and rate limits were not payload-tested.</x:v>
      </x:c>
      <x:c r="U57" s="4" t="str">
        <x:v>Review the individual publisher's license and attribution terms before reuse.</x:v>
      </x:c>
      <x:c r="V57" s="22" t="str">
        <x:v>https://data.memphistn.gov/datasets/12b51ce4d5a14493ab6cc05d32e0c1ee_0/explore</x:v>
      </x:c>
      <x:c r="W57" s="4" t="str">
        <x:v>2026-10-07</x:v>
      </x:c>
      <x:c r="X57" s="4" t="str">
        <x:v>No</x:v>
      </x:c>
    </x:row>
    <x:row r="58" ht="64" customHeight="1">
      <x:c r="A58" s="4" t="str">
        <x:v>US0037</x:v>
      </x:c>
      <x:c r="B58" s="4" t="str">
        <x:v>Baltimore</x:v>
      </x:c>
      <x:c r="C58" s="4" t="str">
        <x:v>MD</x:v>
      </x:c>
      <x:c r="D58" s="4" t="str">
        <x:v>Receivership - Filed and Open</x:v>
      </x:c>
      <x:c r="E58" s="4" t="str">
        <x:v>Buildings / land use</x:v>
      </x:c>
      <x:c r="F58" s="4" t="str">
        <x:v>ArcGIS JSON; CSV/GeoJSON where enabled</x:v>
      </x:c>
      <x:c r="G58" s="4" t="str">
        <x:v>C</x:v>
      </x:c>
      <x:c r="H58" s="22" t="str">
        <x:v>https://data.baltimorecity.gov/datasets/baltimore%3A%3Areceivership-filed-and-open/explore</x:v>
      </x:c>
      <x:c r="I58" s="22" t="str"/>
      <x:c r="J58" s="22" t="str"/>
      <x:c r="K58" s="4" t="str">
        <x:v>ArcGIS dataset page: Download or API</x:v>
      </x:c>
      <x:c r="L58" s="4" t="str">
        <x:v>Check publisher for coverage and update schedule</x:v>
      </x:c>
      <x:c r="M58" s="4" t="str">
        <x:v>Baltimore</x:v>
      </x:c>
      <x:c r="N58" s="4" t="str"/>
      <x:c r="O58" s="4" t="str">
        <x:v>ArcGIS Hub</x:v>
      </x:c>
      <x:c r="P58" s="4" t="str">
        <x:v>Top 50 city proper</x:v>
      </x:c>
      <x:c r="Q58" s="4" t="str">
        <x:v>Dataset-specific URL; resolve layer service through page</x:v>
      </x:c>
      <x:c r="R58" s="4" t="str">
        <x:v>ArcGIS layer listing; CSV/GeoJSON export availability not individually confirmed</x:v>
      </x:c>
      <x:c r="S58" s="4" t="str">
        <x:v>Publisher layer listing; export not downloaded</x:v>
      </x:c>
      <x:c r="T58" s="4" t="str">
        <x:v>Public listing; authentication requirements and rate limits were not payload-tested.</x:v>
      </x:c>
      <x:c r="U58" s="4" t="str">
        <x:v>Review the individual publisher's license and attribution terms before reuse.</x:v>
      </x:c>
      <x:c r="V58" s="22" t="str">
        <x:v>https://data.baltimorecity.gov/datasets/baltimore%3A%3Areceivership-filed-and-open/explore</x:v>
      </x:c>
      <x:c r="W58" s="4" t="str">
        <x:v>2026-10-07</x:v>
      </x:c>
      <x:c r="X58" s="4" t="str">
        <x:v>No</x:v>
      </x:c>
    </x:row>
    <x:row r="59" ht="64" customHeight="1">
      <x:c r="A59" s="4" t="str">
        <x:v>US0038</x:v>
      </x:c>
      <x:c r="B59" s="4" t="str">
        <x:v>Baltimore</x:v>
      </x:c>
      <x:c r="C59" s="4" t="str">
        <x:v>MD</x:v>
      </x:c>
      <x:c r="D59" s="4" t="str">
        <x:v>Zoning</x:v>
      </x:c>
      <x:c r="E59" s="4" t="str">
        <x:v>Buildings / land use</x:v>
      </x:c>
      <x:c r="F59" s="4" t="str">
        <x:v>ArcGIS JSON; CSV/GeoJSON where enabled</x:v>
      </x:c>
      <x:c r="G59" s="4" t="str">
        <x:v>C</x:v>
      </x:c>
      <x:c r="H59" s="22" t="str">
        <x:v>https://data.baltimorecity.gov/datasets/baltimore%3A%3Azoning-1</x:v>
      </x:c>
      <x:c r="I59" s="22" t="str"/>
      <x:c r="J59" s="22" t="str"/>
      <x:c r="K59" s="4" t="str">
        <x:v>ArcGIS dataset page: Download or API</x:v>
      </x:c>
      <x:c r="L59" s="4" t="str">
        <x:v>Check publisher for coverage and update schedule</x:v>
      </x:c>
      <x:c r="M59" s="4" t="str">
        <x:v>Baltimore</x:v>
      </x:c>
      <x:c r="N59" s="4" t="str"/>
      <x:c r="O59" s="4" t="str">
        <x:v>ArcGIS Hub</x:v>
      </x:c>
      <x:c r="P59" s="4" t="str">
        <x:v>Top 50 city proper</x:v>
      </x:c>
      <x:c r="Q59" s="4" t="str">
        <x:v>Dataset-specific URL; resolve layer service through page</x:v>
      </x:c>
      <x:c r="R59" s="4" t="str">
        <x:v>ArcGIS layer listing; CSV/GeoJSON export availability not individually confirmed</x:v>
      </x:c>
      <x:c r="S59" s="4" t="str">
        <x:v>Publisher layer listing; export not downloaded</x:v>
      </x:c>
      <x:c r="T59" s="4" t="str">
        <x:v>Public listing; authentication requirements and rate limits were not payload-tested.</x:v>
      </x:c>
      <x:c r="U59" s="4" t="str">
        <x:v>Review the individual publisher's license and attribution terms before reuse.</x:v>
      </x:c>
      <x:c r="V59" s="22" t="str">
        <x:v>https://data.baltimorecity.gov/datasets/baltimore%3A%3Azoning-1</x:v>
      </x:c>
      <x:c r="W59" s="4" t="str">
        <x:v>2026-10-07</x:v>
      </x:c>
      <x:c r="X59" s="4" t="str">
        <x:v>No</x:v>
      </x:c>
    </x:row>
    <x:row r="60" ht="94" customHeight="1">
      <x:c r="A60" s="4" t="str">
        <x:v>US0060</x:v>
      </x:c>
      <x:c r="B60" s="4" t="str">
        <x:v>Milwaukee</x:v>
      </x:c>
      <x:c r="C60" s="4" t="str">
        <x:v>WI</x:v>
      </x:c>
      <x:c r="D60" s="4" t="str">
        <x:v>Call Center Data (Historical)</x:v>
      </x:c>
      <x:c r="E60" s="4" t="str">
        <x:v>311 / service requests</x:v>
      </x:c>
      <x:c r="F60" s="4" t="str">
        <x:v>CSV</x:v>
      </x:c>
      <x:c r="G60" s="4" t="str">
        <x:v>A</x:v>
      </x:c>
      <x:c r="H60" s="22" t="str">
        <x:v>https://data.milwaukee.gov/dataset/16174983-470a-46c1-a925-d4b7ed28cff9/resource/abdfe983-e856-40cd-bee2-85e78454344a</x:v>
      </x:c>
      <x:c r="I60" s="22" t="str">
        <x:v>https://data.milwaukee.gov/dataset/16174983-470a-46c1-a925-d4b7ed28cff9/resource/abdfe983-e856-40cd-bee2-85e78454344a/download/callcenterdatahistorical.csv</x:v>
      </x:c>
      <x:c r="J60" s="22" t="str"/>
      <x:c r="K60" s="4" t="str">
        <x:v>Direct file</x:v>
      </x:c>
      <x:c r="L60" s="4" t="str">
        <x:v>Historical / archived</x:v>
      </x:c>
      <x:c r="M60" s="4" t="str">
        <x:v>Milwaukee</x:v>
      </x:c>
      <x:c r="N60" s="4" t="str"/>
      <x:c r="O60" s="4" t="str">
        <x:v>CKAN</x:v>
      </x:c>
      <x:c r="P60" s="4" t="str">
        <x:v>Top 50 city proper</x:v>
      </x:c>
      <x:c r="Q60" s="4" t="str">
        <x:v>Published URL</x:v>
      </x:c>
      <x:c r="R60" s="4" t="str">
        <x:v>Published file link or explicit publisher/registry format metadata</x:v>
      </x:c>
      <x:c r="S60" s="4" t="str">
        <x:v>Publisher CSV resource URL indexed</x:v>
      </x:c>
      <x:c r="T60" s="4" t="str">
        <x:v>Public listing; authentication requirements and rate limits were not payload-tested.</x:v>
      </x:c>
      <x:c r="U60" s="4" t="str">
        <x:v>Review the individual publisher's license and attribution terms before reuse.</x:v>
      </x:c>
      <x:c r="V60" s="22" t="str">
        <x:v>https://data.milwaukee.gov/dataset/16174983-470a-46c1-a925-d4b7ed28cff9/resource/abdfe983-e856-40cd-bee2-85e78454344a</x:v>
      </x:c>
      <x:c r="W60" s="4" t="str">
        <x:v>2026-10-07</x:v>
      </x:c>
      <x:c r="X60" s="4" t="str">
        <x:v>No</x:v>
      </x:c>
    </x:row>
    <x:row r="61" ht="64" customHeight="1">
      <x:c r="A61" s="4" t="str">
        <x:v>US0061</x:v>
      </x:c>
      <x:c r="B61" s="4" t="str">
        <x:v>Milwaukee</x:v>
      </x:c>
      <x:c r="C61" s="4" t="str">
        <x:v>WI</x:v>
      </x:c>
      <x:c r="D61" s="4" t="str">
        <x:v>Residential and Commercial Permit Work Data</x:v>
      </x:c>
      <x:c r="E61" s="4" t="str">
        <x:v>Buildings / permits</x:v>
      </x:c>
      <x:c r="F61" s="4" t="str">
        <x:v>CSV</x:v>
      </x:c>
      <x:c r="G61" s="4" t="str">
        <x:v>C</x:v>
      </x:c>
      <x:c r="H61" s="22" t="str">
        <x:v>https://data.milwaukee.gov/dataset/buildingpermits</x:v>
      </x:c>
      <x:c r="I61" s="22" t="str"/>
      <x:c r="J61" s="22" t="str">
        <x:v>https://data.milwaukee.gov/api/3/action/package_show?id=buildingpermits</x:v>
      </x:c>
      <x:c r="K61" s="4" t="str">
        <x:v>CKAN resource selection</x:v>
      </x:c>
      <x:c r="L61" s="4" t="str">
        <x:v>Check publisher for coverage and update schedule</x:v>
      </x:c>
      <x:c r="M61" s="4" t="str">
        <x:v>Milwaukee</x:v>
      </x:c>
      <x:c r="N61" s="4" t="str"/>
      <x:c r="O61" s="4" t="str">
        <x:v>CKAN</x:v>
      </x:c>
      <x:c r="P61" s="4" t="str">
        <x:v>Top 50 city proper</x:v>
      </x:c>
      <x:c r="Q61" s="4" t="str">
        <x:v>Standard CKAN metadata endpoint; select published resource URL</x:v>
      </x:c>
      <x:c r="R61" s="4" t="str">
        <x:v>Publisher resource listing; select the CSV/GeoJSON resource</x:v>
      </x:c>
      <x:c r="S61" s="4" t="str">
        <x:v>Publisher dataset indexed; select resource</x:v>
      </x:c>
      <x:c r="T61" s="4" t="str">
        <x:v>Public listing; authentication requirements and rate limits were not payload-tested.</x:v>
      </x:c>
      <x:c r="U61" s="4" t="str">
        <x:v>Review the individual publisher's license and attribution terms before reuse.</x:v>
      </x:c>
      <x:c r="V61" s="22" t="str">
        <x:v>https://data.milwaukee.gov/dataset/buildingpermits</x:v>
      </x:c>
      <x:c r="W61" s="4" t="str">
        <x:v>2026-10-07</x:v>
      </x:c>
      <x:c r="X61" s="4" t="str">
        <x:v>No</x:v>
      </x:c>
    </x:row>
    <x:row r="62" ht="64" customHeight="1">
      <x:c r="A62" s="4" t="str">
        <x:v>US0063</x:v>
      </x:c>
      <x:c r="B62" s="4" t="str">
        <x:v>Albuquerque</x:v>
      </x:c>
      <x:c r="C62" s="4" t="str">
        <x:v>NM</x:v>
      </x:c>
      <x:c r="D62" s="4" t="str">
        <x:v>Building permits</x:v>
      </x:c>
      <x:c r="E62" s="4" t="str">
        <x:v>Development</x:v>
      </x:c>
      <x:c r="F62" s="4" t="str">
        <x:v>CSV</x:v>
      </x:c>
      <x:c r="G62" s="4" t="str">
        <x:v>A</x:v>
      </x:c>
      <x:c r="H62" s="22" t="str">
        <x:v>https://data.cabq.gov/business/buildingpermits/</x:v>
      </x:c>
      <x:c r="I62" s="22" t="str">
        <x:v>https://data.cabq.gov/business/buildingpermits/BuildingPermitsCABQ-en-us.csv</x:v>
      </x:c>
      <x:c r="J62" s="22" t="str"/>
      <x:c r="K62" s="4" t="str">
        <x:v>Direct file</x:v>
      </x:c>
      <x:c r="L62" s="4" t="str">
        <x:v>Check publisher for coverage and update schedule</x:v>
      </x:c>
      <x:c r="M62" s="4" t="str">
        <x:v>Albuquerque</x:v>
      </x:c>
      <x:c r="N62" s="4" t="str">
        <x:v>Publisher directory also provides separate permit archives before 2016-09-26.</x:v>
      </x:c>
      <x:c r="O62" s="4" t="str">
        <x:v>Direct files / ArcGIS</x:v>
      </x:c>
      <x:c r="P62" s="4" t="str">
        <x:v>Top 50 city proper</x:v>
      </x:c>
      <x:c r="Q62" s="4" t="str">
        <x:v>Published URL</x:v>
      </x:c>
      <x:c r="R62" s="4" t="str">
        <x:v>Published file link or explicit publisher/registry format metadata</x:v>
      </x:c>
      <x:c r="S62" s="4" t="str">
        <x:v>Publisher directory lists named CSV file</x:v>
      </x:c>
      <x:c r="T62" s="4" t="str">
        <x:v>Public listing; authentication requirements and rate limits were not payload-tested.</x:v>
      </x:c>
      <x:c r="U62" s="4" t="str">
        <x:v>Review the individual publisher's license and attribution terms before reuse.</x:v>
      </x:c>
      <x:c r="V62" s="22" t="str">
        <x:v>https://data.cabq.gov/business/buildingpermits/</x:v>
      </x:c>
      <x:c r="W62" s="4" t="str">
        <x:v>2026-10-07</x:v>
      </x:c>
      <x:c r="X62" s="4" t="str">
        <x:v>No</x:v>
      </x:c>
    </x:row>
    <x:row r="63" ht="64" customHeight="1">
      <x:c r="A63" s="4" t="str">
        <x:v>US0064</x:v>
      </x:c>
      <x:c r="B63" s="4" t="str">
        <x:v>Albuquerque</x:v>
      </x:c>
      <x:c r="C63" s="4" t="str">
        <x:v>NM</x:v>
      </x:c>
      <x:c r="D63" s="4" t="str">
        <x:v>Business registrations</x:v>
      </x:c>
      <x:c r="E63" s="4" t="str">
        <x:v>Business</x:v>
      </x:c>
      <x:c r="F63" s="4" t="str">
        <x:v>CSV; XML</x:v>
      </x:c>
      <x:c r="G63" s="4" t="str">
        <x:v>A</x:v>
      </x:c>
      <x:c r="H63" s="22" t="str">
        <x:v>https://data.cabq.gov/business/busregistration/</x:v>
      </x:c>
      <x:c r="I63" s="22" t="str">
        <x:v>https://data.cabq.gov/business/busregistration/BusinessRegistrationCABQ-en-us.csv</x:v>
      </x:c>
      <x:c r="J63" s="22" t="str"/>
      <x:c r="K63" s="4" t="str">
        <x:v>Direct file</x:v>
      </x:c>
      <x:c r="L63" s="4" t="str">
        <x:v>Check publisher for coverage and update schedule</x:v>
      </x:c>
      <x:c r="M63" s="4" t="str">
        <x:v>Albuquerque</x:v>
      </x:c>
      <x:c r="N63" s="4" t="str"/>
      <x:c r="O63" s="4" t="str">
        <x:v>Direct files / ArcGIS</x:v>
      </x:c>
      <x:c r="P63" s="4" t="str">
        <x:v>Top 50 city proper</x:v>
      </x:c>
      <x:c r="Q63" s="4" t="str">
        <x:v>Published URL</x:v>
      </x:c>
      <x:c r="R63" s="4" t="str">
        <x:v>Published file link or explicit publisher/registry format metadata</x:v>
      </x:c>
      <x:c r="S63" s="4" t="str">
        <x:v>Publisher directory lists named CSV and XML files</x:v>
      </x:c>
      <x:c r="T63" s="4" t="str">
        <x:v>Public listing; authentication requirements and rate limits were not payload-tested.</x:v>
      </x:c>
      <x:c r="U63" s="4" t="str">
        <x:v>Review the individual publisher's license and attribution terms before reuse.</x:v>
      </x:c>
      <x:c r="V63" s="22" t="str">
        <x:v>https://data.cabq.gov/business/busregistration/</x:v>
      </x:c>
      <x:c r="W63" s="4" t="str">
        <x:v>2026-10-07</x:v>
      </x:c>
      <x:c r="X63" s="4" t="str">
        <x:v>No</x:v>
      </x:c>
    </x:row>
    <x:row r="64" ht="64" customHeight="1">
      <x:c r="A64" s="4" t="str">
        <x:v>US0065</x:v>
      </x:c>
      <x:c r="B64" s="4" t="str">
        <x:v>Fresno</x:v>
      </x:c>
      <x:c r="C64" s="4" t="str">
        <x:v>CA</x:v>
      </x:c>
      <x:c r="D64" s="4" t="str">
        <x:v>Paths and trails</x:v>
      </x:c>
      <x:c r="E64" s="4" t="str">
        <x:v>Transportation</x:v>
      </x:c>
      <x:c r="F64" s="4" t="str">
        <x:v>ArcGIS JSON; CSV/GeoJSON where enabled</x:v>
      </x:c>
      <x:c r="G64" s="4" t="str">
        <x:v>C</x:v>
      </x:c>
      <x:c r="H64" s="22" t="str">
        <x:v>https://city-of-fresno-gis-hub-cityoffresno.hub.arcgis.com/datasets/paths-and-trails-gis-hub</x:v>
      </x:c>
      <x:c r="I64" s="22" t="str"/>
      <x:c r="J64" s="22" t="str"/>
      <x:c r="K64" s="4" t="str">
        <x:v>ArcGIS dataset page: Download or API</x:v>
      </x:c>
      <x:c r="L64" s="4" t="str">
        <x:v>Check publisher for coverage and update schedule</x:v>
      </x:c>
      <x:c r="M64" s="4" t="str">
        <x:v>Fresno</x:v>
      </x:c>
      <x:c r="N64" s="4" t="str"/>
      <x:c r="O64" s="4" t="str">
        <x:v>ArcGIS Hub</x:v>
      </x:c>
      <x:c r="P64" s="4" t="str">
        <x:v>Top 50 city proper</x:v>
      </x:c>
      <x:c r="Q64" s="4" t="str">
        <x:v>Dataset-specific URL; resolve layer service through page</x:v>
      </x:c>
      <x:c r="R64" s="4" t="str">
        <x:v>ArcGIS layer listing; CSV/GeoJSON export availability not individually confirmed</x:v>
      </x:c>
      <x:c r="S64" s="4" t="str">
        <x:v>Publisher layer listing; export not downloaded</x:v>
      </x:c>
      <x:c r="T64" s="4" t="str">
        <x:v>Public listing; authentication requirements and rate limits were not payload-tested.</x:v>
      </x:c>
      <x:c r="U64" s="4" t="str">
        <x:v>Review the individual publisher's license and attribution terms before reuse.</x:v>
      </x:c>
      <x:c r="V64" s="22" t="str">
        <x:v>https://city-of-fresno-gis-hub-cityoffresno.hub.arcgis.com/datasets/paths-and-trails-gis-hub</x:v>
      </x:c>
      <x:c r="W64" s="4" t="str">
        <x:v>2026-10-07</x:v>
      </x:c>
      <x:c r="X64" s="4" t="str">
        <x:v>No</x:v>
      </x:c>
    </x:row>
    <x:row r="65" ht="64" customHeight="1">
      <x:c r="A65" s="4" t="str">
        <x:v>US0043</x:v>
      </x:c>
      <x:c r="B65" s="4" t="str">
        <x:v>Tucson</x:v>
      </x:c>
      <x:c r="C65" s="4" t="str">
        <x:v>AZ</x:v>
      </x:c>
      <x:c r="D65" s="4" t="str">
        <x:v>Police Incidents - 2020</x:v>
      </x:c>
      <x:c r="E65" s="4" t="str">
        <x:v>Public safety</x:v>
      </x:c>
      <x:c r="F65" s="4" t="str">
        <x:v>ArcGIS JSON; CSV/GeoJSON where enabled</x:v>
      </x:c>
      <x:c r="G65" s="4" t="str">
        <x:v>C</x:v>
      </x:c>
      <x:c r="H65" s="22" t="str">
        <x:v>https://gisdata.tucsonaz.gov/datasets/tucson-police-incidents-2020-open-data</x:v>
      </x:c>
      <x:c r="I65" s="22" t="str"/>
      <x:c r="J65" s="22" t="str"/>
      <x:c r="K65" s="4" t="str">
        <x:v>ArcGIS dataset page: Download or API</x:v>
      </x:c>
      <x:c r="L65" s="4" t="str">
        <x:v>Dated snapshot</x:v>
      </x:c>
      <x:c r="M65" s="4" t="str">
        <x:v>Tucson</x:v>
      </x:c>
      <x:c r="N65" s="4" t="str">
        <x:v>Calendar year 2020 only; not a current incident feed.</x:v>
      </x:c>
      <x:c r="O65" s="4" t="str">
        <x:v>ArcGIS Hub</x:v>
      </x:c>
      <x:c r="P65" s="4" t="str">
        <x:v>Top 50 city proper</x:v>
      </x:c>
      <x:c r="Q65" s="4" t="str">
        <x:v>Dataset-specific URL; resolve layer service through page</x:v>
      </x:c>
      <x:c r="R65" s="4" t="str">
        <x:v>ArcGIS layer listing; CSV/GeoJSON export availability not individually confirmed</x:v>
      </x:c>
      <x:c r="S65" s="4" t="str">
        <x:v>Publisher layer listing; export not downloaded</x:v>
      </x:c>
      <x:c r="T65" s="4" t="str">
        <x:v>Public listing; authentication requirements and rate limits were not payload-tested.</x:v>
      </x:c>
      <x:c r="U65" s="4" t="str">
        <x:v>Review the individual publisher's license and attribution terms before reuse.</x:v>
      </x:c>
      <x:c r="V65" s="22" t="str">
        <x:v>https://gisdata.tucsonaz.gov/datasets/tucson-police-incidents-2020-open-data</x:v>
      </x:c>
      <x:c r="W65" s="4" t="str">
        <x:v>2026-10-07</x:v>
      </x:c>
      <x:c r="X65" s="4" t="str">
        <x:v>No</x:v>
      </x:c>
    </x:row>
    <x:row r="66" ht="64" customHeight="1">
      <x:c r="A66" s="4" t="str">
        <x:v>US0044</x:v>
      </x:c>
      <x:c r="B66" s="4" t="str">
        <x:v>Sacramento</x:v>
      </x:c>
      <x:c r="C66" s="4" t="str">
        <x:v>CA</x:v>
      </x:c>
      <x:c r="D66" s="4" t="str">
        <x:v>Checks Issued</x:v>
      </x:c>
      <x:c r="E66" s="4" t="str">
        <x:v>Government / finance</x:v>
      </x:c>
      <x:c r="F66" s="4" t="str">
        <x:v>ArcGIS JSON; CSV/GeoJSON where enabled</x:v>
      </x:c>
      <x:c r="G66" s="4" t="str">
        <x:v>C</x:v>
      </x:c>
      <x:c r="H66" s="22" t="str">
        <x:v>https://data.cityofsacramento.org/datasets/checks-issued</x:v>
      </x:c>
      <x:c r="I66" s="22" t="str"/>
      <x:c r="J66" s="22" t="str"/>
      <x:c r="K66" s="4" t="str">
        <x:v>ArcGIS dataset page: Download or API</x:v>
      </x:c>
      <x:c r="L66" s="4" t="str">
        <x:v>Check publisher for coverage and update schedule</x:v>
      </x:c>
      <x:c r="M66" s="4" t="str">
        <x:v>Sacramento</x:v>
      </x:c>
      <x:c r="N66" s="4" t="str"/>
      <x:c r="O66" s="4" t="str">
        <x:v>ArcGIS Hub</x:v>
      </x:c>
      <x:c r="P66" s="4" t="str">
        <x:v>Top 50 city proper</x:v>
      </x:c>
      <x:c r="Q66" s="4" t="str">
        <x:v>Dataset-specific URL; resolve layer service through page</x:v>
      </x:c>
      <x:c r="R66" s="4" t="str">
        <x:v>ArcGIS layer listing; CSV/GeoJSON export availability not individually confirmed</x:v>
      </x:c>
      <x:c r="S66" s="4" t="str">
        <x:v>Publisher layer listing; export not downloaded</x:v>
      </x:c>
      <x:c r="T66" s="4" t="str">
        <x:v>Public listing; authentication requirements and rate limits were not payload-tested.</x:v>
      </x:c>
      <x:c r="U66" s="4" t="str">
        <x:v>Review the individual publisher's license and attribution terms before reuse.</x:v>
      </x:c>
      <x:c r="V66" s="22" t="str">
        <x:v>https://data.cityofsacramento.org/datasets/checks-issued</x:v>
      </x:c>
      <x:c r="W66" s="4" t="str">
        <x:v>2026-10-07</x:v>
      </x:c>
      <x:c r="X66" s="4" t="str">
        <x:v>No</x:v>
      </x:c>
    </x:row>
    <x:row r="67" ht="64" customHeight="1">
      <x:c r="A67" s="4" t="str">
        <x:v>US0045</x:v>
      </x:c>
      <x:c r="B67" s="4" t="str">
        <x:v>Sacramento</x:v>
      </x:c>
      <x:c r="C67" s="4" t="str">
        <x:v>CA</x:v>
      </x:c>
      <x:c r="D67" s="4" t="str">
        <x:v>Utilities Water Quality Data</x:v>
      </x:c>
      <x:c r="E67" s="4" t="str">
        <x:v>Environment</x:v>
      </x:c>
      <x:c r="F67" s="4" t="str">
        <x:v>ArcGIS JSON; CSV/GeoJSON where enabled</x:v>
      </x:c>
      <x:c r="G67" s="4" t="str">
        <x:v>C</x:v>
      </x:c>
      <x:c r="H67" s="22" t="str">
        <x:v>https://data.cityofsacramento.org/datasets/utilities-water-quality-data/explore</x:v>
      </x:c>
      <x:c r="I67" s="22" t="str"/>
      <x:c r="J67" s="22" t="str"/>
      <x:c r="K67" s="4" t="str">
        <x:v>ArcGIS dataset page: Download or API</x:v>
      </x:c>
      <x:c r="L67" s="4" t="str">
        <x:v>Check publisher for coverage and update schedule</x:v>
      </x:c>
      <x:c r="M67" s="4" t="str">
        <x:v>Sacramento</x:v>
      </x:c>
      <x:c r="N67" s="4" t="str"/>
      <x:c r="O67" s="4" t="str">
        <x:v>ArcGIS Hub</x:v>
      </x:c>
      <x:c r="P67" s="4" t="str">
        <x:v>Top 50 city proper</x:v>
      </x:c>
      <x:c r="Q67" s="4" t="str">
        <x:v>Dataset-specific URL; resolve layer service through page</x:v>
      </x:c>
      <x:c r="R67" s="4" t="str">
        <x:v>ArcGIS layer listing; CSV/GeoJSON export availability not individually confirmed</x:v>
      </x:c>
      <x:c r="S67" s="4" t="str">
        <x:v>Publisher layer listing; export not downloaded</x:v>
      </x:c>
      <x:c r="T67" s="4" t="str">
        <x:v>Public listing; authentication requirements and rate limits were not payload-tested.</x:v>
      </x:c>
      <x:c r="U67" s="4" t="str">
        <x:v>Review the individual publisher's license and attribution terms before reuse.</x:v>
      </x:c>
      <x:c r="V67" s="22" t="str">
        <x:v>https://data.cityofsacramento.org/datasets/utilities-water-quality-data/explore</x:v>
      </x:c>
      <x:c r="W67" s="4" t="str">
        <x:v>2026-10-07</x:v>
      </x:c>
      <x:c r="X67" s="4" t="str">
        <x:v>No</x:v>
      </x:c>
    </x:row>
    <x:row r="68" ht="64" customHeight="1">
      <x:c r="A68" s="4" t="str">
        <x:v>US0046</x:v>
      </x:c>
      <x:c r="B68" s="4" t="str">
        <x:v>Atlanta</x:v>
      </x:c>
      <x:c r="C68" s="4" t="str">
        <x:v>GA</x:v>
      </x:c>
      <x:c r="D68" s="4" t="str">
        <x:v>Official Address Points</x:v>
      </x:c>
      <x:c r="E68" s="4" t="str">
        <x:v>Addresses / boundaries</x:v>
      </x:c>
      <x:c r="F68" s="4" t="str">
        <x:v>ArcGIS JSON; CSV/GeoJSON where enabled</x:v>
      </x:c>
      <x:c r="G68" s="4" t="str">
        <x:v>C</x:v>
      </x:c>
      <x:c r="H68" s="22" t="str">
        <x:v>https://dpcd-coaplangis.opendata.arcgis.com/datasets/coaplangis%3A%3Aofficial-address-points/explore</x:v>
      </x:c>
      <x:c r="I68" s="22" t="str"/>
      <x:c r="J68" s="22" t="str"/>
      <x:c r="K68" s="4" t="str">
        <x:v>ArcGIS dataset page: Download or API</x:v>
      </x:c>
      <x:c r="L68" s="4" t="str">
        <x:v>Check publisher for coverage and update schedule</x:v>
      </x:c>
      <x:c r="M68" s="4" t="str">
        <x:v>Atlanta</x:v>
      </x:c>
      <x:c r="N68" s="4" t="str"/>
      <x:c r="O68" s="4" t="str">
        <x:v>ArcGIS Hub</x:v>
      </x:c>
      <x:c r="P68" s="4" t="str">
        <x:v>Top 50 city proper</x:v>
      </x:c>
      <x:c r="Q68" s="4" t="str">
        <x:v>Dataset-specific URL; resolve layer service through page</x:v>
      </x:c>
      <x:c r="R68" s="4" t="str">
        <x:v>ArcGIS layer listing; CSV/GeoJSON export availability not individually confirmed</x:v>
      </x:c>
      <x:c r="S68" s="4" t="str">
        <x:v>Publisher layer listing; export not downloaded</x:v>
      </x:c>
      <x:c r="T68" s="4" t="str">
        <x:v>Public listing; authentication requirements and rate limits were not payload-tested.</x:v>
      </x:c>
      <x:c r="U68" s="4" t="str">
        <x:v>Review the individual publisher's license and attribution terms before reuse.</x:v>
      </x:c>
      <x:c r="V68" s="22" t="str">
        <x:v>https://dpcd-coaplangis.opendata.arcgis.com/datasets/coaplangis%3A%3Aofficial-address-points/explore</x:v>
      </x:c>
      <x:c r="W68" s="4" t="str">
        <x:v>2026-10-07</x:v>
      </x:c>
      <x:c r="X68" s="4" t="str">
        <x:v>No</x:v>
      </x:c>
    </x:row>
    <x:row r="69" ht="64" customHeight="1">
      <x:c r="A69" s="4" t="str">
        <x:v>US0059</x:v>
      </x:c>
      <x:c r="B69" s="4" t="str">
        <x:v>Atlanta</x:v>
      </x:c>
      <x:c r="C69" s="4" t="str">
        <x:v>GA</x:v>
      </x:c>
      <x:c r="D69" s="4" t="str">
        <x:v>All Building Permits 2019-2024</x:v>
      </x:c>
      <x:c r="E69" s="4" t="str">
        <x:v>Buildings / permits</x:v>
      </x:c>
      <x:c r="F69" s="4" t="str">
        <x:v>CSV</x:v>
      </x:c>
      <x:c r="G69" s="4" t="str">
        <x:v>C</x:v>
      </x:c>
      <x:c r="H69" s="22" t="str">
        <x:v>https://dpcd-coaplangis.opendata.arcgis.com/datasets/655f985f43cc40b4bf2ab7bc73d2169b</x:v>
      </x:c>
      <x:c r="I69" s="22" t="str"/>
      <x:c r="J69" s="22" t="str"/>
      <x:c r="K69" s="4" t="str">
        <x:v>Download CSV from dataset page</x:v>
      </x:c>
      <x:c r="L69" s="4" t="str">
        <x:v>Dated snapshot</x:v>
      </x:c>
      <x:c r="M69" s="4" t="str">
        <x:v>Atlanta</x:v>
      </x:c>
      <x:c r="N69" s="4" t="str">
        <x:v>2019–2024 historical snapshot.</x:v>
      </x:c>
      <x:c r="O69" s="4" t="str">
        <x:v>ArcGIS Hub</x:v>
      </x:c>
      <x:c r="P69" s="4" t="str">
        <x:v>Top 50 city proper</x:v>
      </x:c>
      <x:c r="Q69" s="4" t="str">
        <x:v>Use dataset page</x:v>
      </x:c>
      <x:c r="R69" s="4" t="str">
        <x:v>Publisher lists download resources; open the dataset page to select a file</x:v>
      </x:c>
      <x:c r="S69" s="4" t="str">
        <x:v>Publisher identifies item as CSV</x:v>
      </x:c>
      <x:c r="T69" s="4" t="str">
        <x:v>Public listing; authentication requirements and rate limits were not payload-tested.</x:v>
      </x:c>
      <x:c r="U69" s="4" t="str">
        <x:v>Review the individual publisher's license and attribution terms before reuse.</x:v>
      </x:c>
      <x:c r="V69" s="22" t="str">
        <x:v>https://dpcd-coaplangis.opendata.arcgis.com/datasets/655f985f43cc40b4bf2ab7bc73d2169b</x:v>
      </x:c>
      <x:c r="W69" s="4" t="str">
        <x:v>2026-10-07</x:v>
      </x:c>
      <x:c r="X69" s="4" t="str">
        <x:v>No</x:v>
      </x:c>
    </x:row>
    <x:row r="70" ht="80" customHeight="1">
      <x:c r="A70" s="4" t="str">
        <x:v>US0024</x:v>
      </x:c>
      <x:c r="B70" s="4" t="str">
        <x:v>Kansas City</x:v>
      </x:c>
      <x:c r="C70" s="4" t="str">
        <x:v>MO</x:v>
      </x:c>
      <x:c r="D70" s="4" t="str">
        <x:v>Tree Violations in EnerGov</x:v>
      </x:c>
      <x:c r="E70" s="4" t="str">
        <x:v>Buildings / enforcement</x:v>
      </x:c>
      <x:c r="F70" s="4" t="str">
        <x:v>CSV; JSON</x:v>
      </x:c>
      <x:c r="G70" s="4" t="str">
        <x:v>B</x:v>
      </x:c>
      <x:c r="H70" s="22" t="str">
        <x:v>https://data.kcmo.org/d/76iu-fdsg</x:v>
      </x:c>
      <x:c r="I70" s="22" t="str">
        <x:v>https://data.kcmo.org/api/views/76iu-fdsg/rows.csv?accessType=DOWNLOAD</x:v>
      </x:c>
      <x:c r="J70" s="22" t="str">
        <x:v>https://data.kcmo.org/resource/76iu-fdsg.json</x:v>
      </x:c>
      <x:c r="K70" s="4" t="str">
        <x:v>Socrata bulk export / API</x:v>
      </x:c>
      <x:c r="L70" s="4" t="str">
        <x:v>Check publisher for coverage and update schedule</x:v>
      </x:c>
      <x:c r="M70" s="4" t="str">
        <x:v>Kansas City</x:v>
      </x:c>
      <x:c r="N70" s="4" t="str"/>
      <x:c r="O70" s="4" t="str">
        <x:v>Socrata</x:v>
      </x:c>
      <x:c r="P70" s="4" t="str">
        <x:v>Top 50 city proper</x:v>
      </x:c>
      <x:c r="Q70" s="4" t="str">
        <x:v>Standard Socrata endpoint constructed from identified dataset ID</x:v>
      </x:c>
      <x:c r="R70" s="4" t="str">
        <x:v>Identified dataset ID plus standard platform export/API format</x:v>
      </x:c>
      <x:c r="S70" s="4" t="str">
        <x:v>Publisher dataset page</x:v>
      </x:c>
      <x:c r="T70" s="4" t="str">
        <x:v>Public dataset; legacy and SODA3 access rules differ. SODA3 API queries require an app token or user authentication. Confirm export access on the dataset page.</x:v>
      </x:c>
      <x:c r="U70" s="4" t="str">
        <x:v>Review the individual publisher's license and attribution terms before reuse.</x:v>
      </x:c>
      <x:c r="V70" s="22" t="str">
        <x:v>https://data.kcmo.org/Neighborhoods/Tree-Violations-in-EnerGov/76iu-fdsg</x:v>
      </x:c>
      <x:c r="W70" s="4" t="str">
        <x:v>2026-10-07</x:v>
      </x:c>
      <x:c r="X70" s="4" t="str">
        <x:v>No</x:v>
      </x:c>
    </x:row>
    <x:row r="71" ht="80" customHeight="1">
      <x:c r="A71" s="4" t="str">
        <x:v>US0022</x:v>
      </x:c>
      <x:c r="B71" s="4" t="str">
        <x:v>Mesa</x:v>
      </x:c>
      <x:c r="C71" s="4" t="str">
        <x:v>AZ</x:v>
      </x:c>
      <x:c r="D71" s="4" t="str">
        <x:v>Code Compliance</x:v>
      </x:c>
      <x:c r="E71" s="4" t="str">
        <x:v>Buildings / enforcement</x:v>
      </x:c>
      <x:c r="F71" s="4" t="str">
        <x:v>CSV; JSON</x:v>
      </x:c>
      <x:c r="G71" s="4" t="str">
        <x:v>B</x:v>
      </x:c>
      <x:c r="H71" s="22" t="str">
        <x:v>https://data.mesaaz.gov/d/hgf6-yenu</x:v>
      </x:c>
      <x:c r="I71" s="22" t="str">
        <x:v>https://data.mesaaz.gov/api/views/hgf6-yenu/rows.csv?accessType=DOWNLOAD</x:v>
      </x:c>
      <x:c r="J71" s="22" t="str">
        <x:v>https://data.mesaaz.gov/resource/hgf6-yenu.json</x:v>
      </x:c>
      <x:c r="K71" s="4" t="str">
        <x:v>Socrata bulk export / API</x:v>
      </x:c>
      <x:c r="L71" s="4" t="str">
        <x:v>Check publisher for coverage and update schedule</x:v>
      </x:c>
      <x:c r="M71" s="4" t="str">
        <x:v>Mesa</x:v>
      </x:c>
      <x:c r="N71" s="4" t="str"/>
      <x:c r="O71" s="4" t="str">
        <x:v>Socrata</x:v>
      </x:c>
      <x:c r="P71" s="4" t="str">
        <x:v>Top 50 city proper</x:v>
      </x:c>
      <x:c r="Q71" s="4" t="str">
        <x:v>Standard Socrata endpoint constructed from identified dataset ID</x:v>
      </x:c>
      <x:c r="R71" s="4" t="str">
        <x:v>Identified dataset ID plus standard platform export/API format</x:v>
      </x:c>
      <x:c r="S71" s="4" t="str">
        <x:v>Publisher dataset page</x:v>
      </x:c>
      <x:c r="T71" s="4" t="str">
        <x:v>Public dataset; legacy and SODA3 access rules differ. SODA3 API queries require an app token or user authentication. Confirm export access on the dataset page.</x:v>
      </x:c>
      <x:c r="U71" s="4" t="str">
        <x:v>Review the individual publisher's license and attribution terms before reuse.</x:v>
      </x:c>
      <x:c r="V71" s="22" t="str">
        <x:v>https://data.mesaaz.gov/Code-Compliance/Code-Compliance/hgf6-yenu</x:v>
      </x:c>
      <x:c r="W71" s="4" t="str">
        <x:v>2026-10-07</x:v>
      </x:c>
      <x:c r="X71" s="4" t="str">
        <x:v>No</x:v>
      </x:c>
    </x:row>
    <x:row r="72" ht="80" customHeight="1">
      <x:c r="A72" s="4" t="str">
        <x:v>US0023</x:v>
      </x:c>
      <x:c r="B72" s="4" t="str">
        <x:v>Mesa</x:v>
      </x:c>
      <x:c r="C72" s="4" t="str">
        <x:v>AZ</x:v>
      </x:c>
      <x:c r="D72" s="4" t="str">
        <x:v>Business Licenses</x:v>
      </x:c>
      <x:c r="E72" s="4" t="str">
        <x:v>Business / economy</x:v>
      </x:c>
      <x:c r="F72" s="4" t="str">
        <x:v>CSV; JSON</x:v>
      </x:c>
      <x:c r="G72" s="4" t="str">
        <x:v>B</x:v>
      </x:c>
      <x:c r="H72" s="22" t="str">
        <x:v>https://data.mesaaz.gov/d/rg88-ausd</x:v>
      </x:c>
      <x:c r="I72" s="22" t="str">
        <x:v>https://data.mesaaz.gov/api/views/rg88-ausd/rows.csv?accessType=DOWNLOAD</x:v>
      </x:c>
      <x:c r="J72" s="22" t="str">
        <x:v>https://data.mesaaz.gov/resource/rg88-ausd.json</x:v>
      </x:c>
      <x:c r="K72" s="4" t="str">
        <x:v>Socrata bulk export / API</x:v>
      </x:c>
      <x:c r="L72" s="4" t="str">
        <x:v>Check publisher for coverage and update schedule</x:v>
      </x:c>
      <x:c r="M72" s="4" t="str">
        <x:v>Mesa</x:v>
      </x:c>
      <x:c r="N72" s="4" t="str"/>
      <x:c r="O72" s="4" t="str">
        <x:v>Socrata</x:v>
      </x:c>
      <x:c r="P72" s="4" t="str">
        <x:v>Top 50 city proper</x:v>
      </x:c>
      <x:c r="Q72" s="4" t="str">
        <x:v>Standard Socrata endpoint constructed from identified dataset ID</x:v>
      </x:c>
      <x:c r="R72" s="4" t="str">
        <x:v>Identified dataset ID plus standard platform export/API format</x:v>
      </x:c>
      <x:c r="S72" s="4" t="str">
        <x:v>Publisher dataset page</x:v>
      </x:c>
      <x:c r="T72" s="4" t="str">
        <x:v>Public dataset; legacy and SODA3 access rules differ. SODA3 API queries require an app token or user authentication. Confirm export access on the dataset page.</x:v>
      </x:c>
      <x:c r="U72" s="4" t="str">
        <x:v>Review the individual publisher's license and attribution terms before reuse.</x:v>
      </x:c>
      <x:c r="V72" s="22" t="str">
        <x:v>https://data.mesaaz.gov/Business-Services/Business-Licenses/rg88-ausd</x:v>
      </x:c>
      <x:c r="W72" s="4" t="str">
        <x:v>2026-10-07</x:v>
      </x:c>
      <x:c r="X72" s="4" t="str">
        <x:v>No</x:v>
      </x:c>
    </x:row>
    <x:row r="73" ht="64" customHeight="1">
      <x:c r="A73" s="4" t="str">
        <x:v>US0047</x:v>
      </x:c>
      <x:c r="B73" s="4" t="str">
        <x:v>Raleigh</x:v>
      </x:c>
      <x:c r="C73" s="4" t="str">
        <x:v>NC</x:v>
      </x:c>
      <x:c r="D73" s="4" t="str">
        <x:v>Raleigh Police Incidents (NIBRS)</x:v>
      </x:c>
      <x:c r="E73" s="4" t="str">
        <x:v>Public safety</x:v>
      </x:c>
      <x:c r="F73" s="4" t="str">
        <x:v>ArcGIS JSON; CSV/GeoJSON where enabled</x:v>
      </x:c>
      <x:c r="G73" s="4" t="str">
        <x:v>C</x:v>
      </x:c>
      <x:c r="H73" s="22" t="str">
        <x:v>https://data-ral.opendata.arcgis.com/datasets/ral%3A%3Araleigh-police-incidents-nibrs/about</x:v>
      </x:c>
      <x:c r="I73" s="22" t="str"/>
      <x:c r="J73" s="22" t="str"/>
      <x:c r="K73" s="4" t="str">
        <x:v>ArcGIS dataset page: Download or API</x:v>
      </x:c>
      <x:c r="L73" s="4" t="str">
        <x:v>Check publisher for coverage and update schedule</x:v>
      </x:c>
      <x:c r="M73" s="4" t="str">
        <x:v>Raleigh</x:v>
      </x:c>
      <x:c r="N73" s="4" t="str"/>
      <x:c r="O73" s="4" t="str">
        <x:v>ArcGIS Hub</x:v>
      </x:c>
      <x:c r="P73" s="4" t="str">
        <x:v>Top 50 city proper</x:v>
      </x:c>
      <x:c r="Q73" s="4" t="str">
        <x:v>Dataset-specific URL; resolve layer service through page</x:v>
      </x:c>
      <x:c r="R73" s="4" t="str">
        <x:v>ArcGIS layer listing; CSV/GeoJSON export availability not individually confirmed</x:v>
      </x:c>
      <x:c r="S73" s="4" t="str">
        <x:v>Publisher layer listing; export not downloaded</x:v>
      </x:c>
      <x:c r="T73" s="4" t="str">
        <x:v>Public listing; authentication requirements and rate limits were not payload-tested.</x:v>
      </x:c>
      <x:c r="U73" s="4" t="str">
        <x:v>Review the individual publisher's license and attribution terms before reuse.</x:v>
      </x:c>
      <x:c r="V73" s="22" t="str">
        <x:v>https://data-ral.opendata.arcgis.com/datasets/ral%3A%3Araleigh-police-incidents-nibrs/about</x:v>
      </x:c>
      <x:c r="W73" s="4" t="str">
        <x:v>2026-10-07</x:v>
      </x:c>
      <x:c r="X73" s="4" t="str">
        <x:v>No</x:v>
      </x:c>
    </x:row>
    <x:row r="74" ht="80" customHeight="1">
      <x:c r="A74" s="4" t="str">
        <x:v>US0089</x:v>
      </x:c>
      <x:c r="B74" s="4" t="str">
        <x:v>Colorado Springs</x:v>
      </x:c>
      <x:c r="C74" s="4" t="str">
        <x:v>CO</x:v>
      </x:c>
      <x:c r="D74" s="4" t="str">
        <x:v>Mountain Metropolitan Transit static transit schedule</x:v>
      </x:c>
      <x:c r="E74" s="4" t="str">
        <x:v>Transport / public transit</x:v>
      </x:c>
      <x:c r="F74" s="4" t="str">
        <x:v>GTFS ZIP (CSV-formatted TXT tables)</x:v>
      </x:c>
      <x:c r="G74" s="4" t="str">
        <x:v>A</x:v>
      </x:c>
      <x:c r="H74" s="22" t="str">
        <x:v>https://www.transit.land/feeds/f-9wvk-mountainmetropolitantransit</x:v>
      </x:c>
      <x:c r="I74" s="22" t="str">
        <x:v>https://coloradosprings.gov/document/googletransit.zip</x:v>
      </x:c>
      <x:c r="J74" s="22" t="str"/>
      <x:c r="K74" s="4" t="str">
        <x:v>Direct file</x:v>
      </x:c>
      <x:c r="L74" s="4" t="str">
        <x:v>Registry lists active feed; inspect service dates</x:v>
      </x:c>
      <x:c r="M74" s="4" t="str">
        <x:v>Colorado Springs / Mountain Metro service area</x:v>
      </x:c>
      <x:c r="N74" s="4" t="str">
        <x:v>Registry lists a 2026 feed with service through October 24, 2026. The official ZIP could not be fetched by the browsing tool; raw response and freshness are not validated.</x:v>
      </x:c>
      <x:c r="O74" s="4" t="str">
        <x:v>Direct GTFS files</x:v>
      </x:c>
      <x:c r="P74" s="4" t="str">
        <x:v>Top 50 city proper</x:v>
      </x:c>
      <x:c r="Q74" s="4" t="str">
        <x:v>Official publisher file URL listed by a third-party transit registry</x:v>
      </x:c>
      <x:c r="R74" s="4" t="str">
        <x:v>Published file link or explicit publisher/registry format metadata</x:v>
      </x:c>
      <x:c r="S74" s="4" t="str">
        <x:v>Transitland registry identifies official agency file; payload not fetched</x:v>
      </x:c>
      <x:c r="T74" s="4" t="str">
        <x:v>Public listing; authentication requirements and rate limits were not payload-tested.</x:v>
      </x:c>
      <x:c r="U74" s="4" t="str">
        <x:v>Review the individual publisher's license and attribution terms before reuse.</x:v>
      </x:c>
      <x:c r="V74" s="22" t="str">
        <x:v>https://www.transit.land/feeds/f-9wvk-mountainmetropolitantransit</x:v>
      </x:c>
      <x:c r="W74" s="4" t="str">
        <x:v>2026-10-07</x:v>
      </x:c>
      <x:c r="X74" s="4" t="str">
        <x:v>No</x:v>
      </x:c>
    </x:row>
    <x:row r="75" ht="64" customHeight="1">
      <x:c r="A75" s="4" t="str">
        <x:v>US0048</x:v>
      </x:c>
      <x:c r="B75" s="4" t="str">
        <x:v>Miami</x:v>
      </x:c>
      <x:c r="C75" s="4" t="str">
        <x:v>FL</x:v>
      </x:c>
      <x:c r="D75" s="4" t="str">
        <x:v>Building Permits Since 2014</x:v>
      </x:c>
      <x:c r="E75" s="4" t="str">
        <x:v>Buildings / permits</x:v>
      </x:c>
      <x:c r="F75" s="4" t="str">
        <x:v>ArcGIS JSON; CSV/GeoJSON where enabled</x:v>
      </x:c>
      <x:c r="G75" s="4" t="str">
        <x:v>C</x:v>
      </x:c>
      <x:c r="H75" s="22" t="str">
        <x:v>https://datahub-miamigis.opendata.arcgis.com/datasets/1d6fc60b087c4bcaa22345f429a2ec5a_0/geoservice</x:v>
      </x:c>
      <x:c r="I75" s="22" t="str"/>
      <x:c r="J75" s="22" t="str"/>
      <x:c r="K75" s="4" t="str">
        <x:v>ArcGIS dataset page: Download or API</x:v>
      </x:c>
      <x:c r="L75" s="4" t="str">
        <x:v>Check publisher for coverage and update schedule</x:v>
      </x:c>
      <x:c r="M75" s="4" t="str">
        <x:v>Miami</x:v>
      </x:c>
      <x:c r="N75" s="4" t="str"/>
      <x:c r="O75" s="4" t="str">
        <x:v>ArcGIS Hub</x:v>
      </x:c>
      <x:c r="P75" s="4" t="str">
        <x:v>Top 50 city proper</x:v>
      </x:c>
      <x:c r="Q75" s="4" t="str">
        <x:v>Dataset-specific URL; resolve layer service through page</x:v>
      </x:c>
      <x:c r="R75" s="4" t="str">
        <x:v>ArcGIS layer listing; CSV/GeoJSON export availability not individually confirmed</x:v>
      </x:c>
      <x:c r="S75" s="4" t="str">
        <x:v>Publisher layer listing; export not downloaded</x:v>
      </x:c>
      <x:c r="T75" s="4" t="str">
        <x:v>Public listing; authentication requirements and rate limits were not payload-tested.</x:v>
      </x:c>
      <x:c r="U75" s="4" t="str">
        <x:v>Review the individual publisher's license and attribution terms before reuse.</x:v>
      </x:c>
      <x:c r="V75" s="22" t="str">
        <x:v>https://datahub-miamigis.opendata.arcgis.com/datasets/1d6fc60b087c4bcaa22345f429a2ec5a_0/geoservice</x:v>
      </x:c>
      <x:c r="W75" s="4" t="str">
        <x:v>2026-10-07</x:v>
      </x:c>
      <x:c r="X75" s="4" t="str">
        <x:v>No</x:v>
      </x:c>
    </x:row>
    <x:row r="76" ht="64" customHeight="1">
      <x:c r="A76" s="4" t="str">
        <x:v>US0049</x:v>
      </x:c>
      <x:c r="B76" s="4" t="str">
        <x:v>Miami</x:v>
      </x:c>
      <x:c r="C76" s="4" t="str">
        <x:v>FL</x:v>
      </x:c>
      <x:c r="D76" s="4" t="str">
        <x:v>Miami 21 Zoning</x:v>
      </x:c>
      <x:c r="E76" s="4" t="str">
        <x:v>Buildings / land use</x:v>
      </x:c>
      <x:c r="F76" s="4" t="str">
        <x:v>ArcGIS JSON; CSV/GeoJSON where enabled</x:v>
      </x:c>
      <x:c r="G76" s="4" t="str">
        <x:v>C</x:v>
      </x:c>
      <x:c r="H76" s="22" t="str">
        <x:v>https://datahub-miamigis.opendata.arcgis.com/datasets/m21-zoning</x:v>
      </x:c>
      <x:c r="I76" s="22" t="str"/>
      <x:c r="J76" s="22" t="str"/>
      <x:c r="K76" s="4" t="str">
        <x:v>ArcGIS dataset page: Download or API</x:v>
      </x:c>
      <x:c r="L76" s="4" t="str">
        <x:v>Check publisher for coverage and update schedule</x:v>
      </x:c>
      <x:c r="M76" s="4" t="str">
        <x:v>Miami</x:v>
      </x:c>
      <x:c r="N76" s="4" t="str"/>
      <x:c r="O76" s="4" t="str">
        <x:v>ArcGIS Hub</x:v>
      </x:c>
      <x:c r="P76" s="4" t="str">
        <x:v>Top 50 city proper</x:v>
      </x:c>
      <x:c r="Q76" s="4" t="str">
        <x:v>Dataset-specific URL; resolve layer service through page</x:v>
      </x:c>
      <x:c r="R76" s="4" t="str">
        <x:v>ArcGIS layer listing; CSV/GeoJSON export availability not individually confirmed</x:v>
      </x:c>
      <x:c r="S76" s="4" t="str">
        <x:v>Publisher layer listing; export not downloaded</x:v>
      </x:c>
      <x:c r="T76" s="4" t="str">
        <x:v>Public listing; authentication requirements and rate limits were not payload-tested.</x:v>
      </x:c>
      <x:c r="U76" s="4" t="str">
        <x:v>Review the individual publisher's license and attribution terms before reuse.</x:v>
      </x:c>
      <x:c r="V76" s="22" t="str">
        <x:v>https://datahub-miamigis.opendata.arcgis.com/datasets/m21-zoning</x:v>
      </x:c>
      <x:c r="W76" s="4" t="str">
        <x:v>2026-10-07</x:v>
      </x:c>
      <x:c r="X76" s="4" t="str">
        <x:v>No</x:v>
      </x:c>
    </x:row>
    <x:row r="77" ht="64" customHeight="1">
      <x:c r="A77" s="4" t="str">
        <x:v>US0050</x:v>
      </x:c>
      <x:c r="B77" s="4" t="str">
        <x:v>Omaha</x:v>
      </x:c>
      <x:c r="C77" s="4" t="str">
        <x:v>NE</x:v>
      </x:c>
      <x:c r="D77" s="4" t="str">
        <x:v>Omaha City Council Districts</x:v>
      </x:c>
      <x:c r="E77" s="4" t="str">
        <x:v>Addresses / boundaries</x:v>
      </x:c>
      <x:c r="F77" s="4" t="str">
        <x:v>ArcGIS JSON; CSV/GeoJSON where enabled</x:v>
      </x:c>
      <x:c r="G77" s="4" t="str">
        <x:v>C</x:v>
      </x:c>
      <x:c r="H77" s="22" t="str">
        <x:v>https://data.dogis.org/datasets/omaha-city-council-districts</x:v>
      </x:c>
      <x:c r="I77" s="22" t="str"/>
      <x:c r="J77" s="22" t="str"/>
      <x:c r="K77" s="4" t="str">
        <x:v>ArcGIS dataset page: Download or API</x:v>
      </x:c>
      <x:c r="L77" s="4" t="str">
        <x:v>Check publisher for coverage and update schedule</x:v>
      </x:c>
      <x:c r="M77" s="4" t="str">
        <x:v>Omaha</x:v>
      </x:c>
      <x:c r="N77" s="4" t="str"/>
      <x:c r="O77" s="4" t="str">
        <x:v>ArcGIS Hub</x:v>
      </x:c>
      <x:c r="P77" s="4" t="str">
        <x:v>Top 50 city proper</x:v>
      </x:c>
      <x:c r="Q77" s="4" t="str">
        <x:v>Dataset-specific URL; resolve layer service through page</x:v>
      </x:c>
      <x:c r="R77" s="4" t="str">
        <x:v>ArcGIS layer listing; CSV/GeoJSON export availability not individually confirmed</x:v>
      </x:c>
      <x:c r="S77" s="4" t="str">
        <x:v>Publisher layer listing; export not downloaded</x:v>
      </x:c>
      <x:c r="T77" s="4" t="str">
        <x:v>Public listing; authentication requirements and rate limits were not payload-tested.</x:v>
      </x:c>
      <x:c r="U77" s="4" t="str">
        <x:v>Review the individual publisher's license and attribution terms before reuse.</x:v>
      </x:c>
      <x:c r="V77" s="22" t="str">
        <x:v>https://data.dogis.org/datasets/omaha-city-council-districts</x:v>
      </x:c>
      <x:c r="W77" s="4" t="str">
        <x:v>2026-10-07</x:v>
      </x:c>
      <x:c r="X77" s="4" t="str">
        <x:v>No</x:v>
      </x:c>
    </x:row>
    <x:row r="78" ht="64" customHeight="1">
      <x:c r="A78" s="4" t="str">
        <x:v>US0051</x:v>
      </x:c>
      <x:c r="B78" s="4" t="str">
        <x:v>Virginia Beach</x:v>
      </x:c>
      <x:c r="C78" s="4" t="str">
        <x:v>VA</x:v>
      </x:c>
      <x:c r="D78" s="4" t="str">
        <x:v>Code Enforcement Cases</x:v>
      </x:c>
      <x:c r="E78" s="4" t="str">
        <x:v>Buildings / enforcement</x:v>
      </x:c>
      <x:c r="F78" s="4" t="str">
        <x:v>ArcGIS JSON; CSV/GeoJSON where enabled</x:v>
      </x:c>
      <x:c r="G78" s="4" t="str">
        <x:v>C</x:v>
      </x:c>
      <x:c r="H78" s="22" t="str">
        <x:v>https://data.virginiabeach.gov/datasets/a47f8ef0dd894d07a6e5f6af3e1ee351_0/explore</x:v>
      </x:c>
      <x:c r="I78" s="22" t="str"/>
      <x:c r="J78" s="22" t="str"/>
      <x:c r="K78" s="4" t="str">
        <x:v>ArcGIS dataset page: Download or API</x:v>
      </x:c>
      <x:c r="L78" s="4" t="str">
        <x:v>Check publisher for coverage and update schedule</x:v>
      </x:c>
      <x:c r="M78" s="4" t="str">
        <x:v>Virginia Beach</x:v>
      </x:c>
      <x:c r="N78" s="4" t="str"/>
      <x:c r="O78" s="4" t="str">
        <x:v>ArcGIS Hub</x:v>
      </x:c>
      <x:c r="P78" s="4" t="str">
        <x:v>Top 50 city proper</x:v>
      </x:c>
      <x:c r="Q78" s="4" t="str">
        <x:v>Dataset-specific URL; resolve layer service through page</x:v>
      </x:c>
      <x:c r="R78" s="4" t="str">
        <x:v>ArcGIS layer listing; CSV/GeoJSON export availability not individually confirmed</x:v>
      </x:c>
      <x:c r="S78" s="4" t="str">
        <x:v>Publisher layer listing; export not downloaded</x:v>
      </x:c>
      <x:c r="T78" s="4" t="str">
        <x:v>Public listing; authentication requirements and rate limits were not payload-tested.</x:v>
      </x:c>
      <x:c r="U78" s="4" t="str">
        <x:v>Review the individual publisher's license and attribution terms before reuse.</x:v>
      </x:c>
      <x:c r="V78" s="22" t="str">
        <x:v>https://data.virginiabeach.gov/datasets/a47f8ef0dd894d07a6e5f6af3e1ee351_0/explore</x:v>
      </x:c>
      <x:c r="W78" s="4" t="str">
        <x:v>2026-10-07</x:v>
      </x:c>
      <x:c r="X78" s="4" t="str">
        <x:v>No</x:v>
      </x:c>
    </x:row>
    <x:row r="79" ht="64" customHeight="1">
      <x:c r="A79" s="4" t="str">
        <x:v>US0052</x:v>
      </x:c>
      <x:c r="B79" s="4" t="str">
        <x:v>Virginia Beach</x:v>
      </x:c>
      <x:c r="C79" s="4" t="str">
        <x:v>VA</x:v>
      </x:c>
      <x:c r="D79" s="4" t="str">
        <x:v>EMS Calls for Service</x:v>
      </x:c>
      <x:c r="E79" s="4" t="str">
        <x:v>Public safety</x:v>
      </x:c>
      <x:c r="F79" s="4" t="str">
        <x:v>ArcGIS JSON; CSV/GeoJSON where enabled</x:v>
      </x:c>
      <x:c r="G79" s="4" t="str">
        <x:v>C</x:v>
      </x:c>
      <x:c r="H79" s="22" t="str">
        <x:v>https://data.virginiabeach.gov/datasets/ems-calls-for-service/about</x:v>
      </x:c>
      <x:c r="I79" s="22" t="str"/>
      <x:c r="J79" s="22" t="str"/>
      <x:c r="K79" s="4" t="str">
        <x:v>ArcGIS dataset page: Download or API</x:v>
      </x:c>
      <x:c r="L79" s="4" t="str">
        <x:v>Check publisher for coverage and update schedule</x:v>
      </x:c>
      <x:c r="M79" s="4" t="str">
        <x:v>Virginia Beach</x:v>
      </x:c>
      <x:c r="N79" s="4" t="str"/>
      <x:c r="O79" s="4" t="str">
        <x:v>ArcGIS Hub</x:v>
      </x:c>
      <x:c r="P79" s="4" t="str">
        <x:v>Top 50 city proper</x:v>
      </x:c>
      <x:c r="Q79" s="4" t="str">
        <x:v>Dataset-specific URL; resolve layer service through page</x:v>
      </x:c>
      <x:c r="R79" s="4" t="str">
        <x:v>ArcGIS layer listing; CSV/GeoJSON export availability not individually confirmed</x:v>
      </x:c>
      <x:c r="S79" s="4" t="str">
        <x:v>Publisher layer listing; export not downloaded</x:v>
      </x:c>
      <x:c r="T79" s="4" t="str">
        <x:v>Public listing; authentication requirements and rate limits were not payload-tested.</x:v>
      </x:c>
      <x:c r="U79" s="4" t="str">
        <x:v>Review the individual publisher's license and attribution terms before reuse.</x:v>
      </x:c>
      <x:c r="V79" s="22" t="str">
        <x:v>https://data.virginiabeach.gov/datasets/ems-calls-for-service/about</x:v>
      </x:c>
      <x:c r="W79" s="4" t="str">
        <x:v>2026-10-07</x:v>
      </x:c>
      <x:c r="X79" s="4" t="str">
        <x:v>No</x:v>
      </x:c>
    </x:row>
    <x:row r="80" ht="66" customHeight="1">
      <x:c r="A80" s="4" t="str">
        <x:v>US0062</x:v>
      </x:c>
      <x:c r="B80" s="4" t="str">
        <x:v>Long Beach</x:v>
      </x:c>
      <x:c r="C80" s="4" t="str">
        <x:v>CA</x:v>
      </x:c>
      <x:c r="D80" s="4" t="str">
        <x:v>Animal Shelter Data</x:v>
      </x:c>
      <x:c r="E80" s="4" t="str">
        <x:v>Animals / municipal services</x:v>
      </x:c>
      <x:c r="F80" s="4" t="str">
        <x:v>CSV; JSON</x:v>
      </x:c>
      <x:c r="G80" s="4" t="str">
        <x:v>B</x:v>
      </x:c>
      <x:c r="H80" s="22" t="str">
        <x:v>https://data.longbeach.gov/explore/assets/animal-shelter-intakes-and-outcomes/</x:v>
      </x:c>
      <x:c r="I80" s="22" t="str">
        <x:v>https://data.longbeach.gov/api/explore/v2.1/catalog/datasets/animal-shelter-intakes-and-outcomes/exports/csv</x:v>
      </x:c>
      <x:c r="J80" s="22" t="str">
        <x:v>https://data.longbeach.gov/api/explore/v2.1/catalog/datasets/animal-shelter-intakes-and-outcomes/records</x:v>
      </x:c>
      <x:c r="K80" s="4" t="str">
        <x:v>Opendatasoft export / API</x:v>
      </x:c>
      <x:c r="L80" s="4" t="str">
        <x:v>Check publisher for coverage and update schedule</x:v>
      </x:c>
      <x:c r="M80" s="4" t="str">
        <x:v>Long Beach</x:v>
      </x:c>
      <x:c r="N80" s="4" t="str"/>
      <x:c r="O80" s="4" t="str">
        <x:v>Opendatasoft</x:v>
      </x:c>
      <x:c r="P80" s="4" t="str">
        <x:v>Top 50 city proper</x:v>
      </x:c>
      <x:c r="Q80" s="4" t="str">
        <x:v>Standard Opendatasoft endpoint constructed from dataset ID</x:v>
      </x:c>
      <x:c r="R80" s="4" t="str">
        <x:v>Identified dataset ID plus standard platform export/API format</x:v>
      </x:c>
      <x:c r="S80" s="4" t="str">
        <x:v>Publisher dataset page opened; platform endpoint constructed</x:v>
      </x:c>
      <x:c r="T80" s="4" t="str">
        <x:v>Public listing; authentication requirements and rate limits were not payload-tested.</x:v>
      </x:c>
      <x:c r="U80" s="4" t="str">
        <x:v>Review the individual publisher's license and attribution terms before reuse.</x:v>
      </x:c>
      <x:c r="V80" s="22" t="str">
        <x:v>https://data.longbeach.gov/explore/assets/animal-shelter-intakes-and-outcomes/</x:v>
      </x:c>
      <x:c r="W80" s="4" t="str">
        <x:v>2026-10-07</x:v>
      </x:c>
      <x:c r="X80" s="4" t="str">
        <x:v>No</x:v>
      </x:c>
    </x:row>
    <x:row r="81" ht="80" customHeight="1">
      <x:c r="A81" s="4" t="str">
        <x:v>US0021</x:v>
      </x:c>
      <x:c r="B81" s="4" t="str">
        <x:v>Oakland</x:v>
      </x:c>
      <x:c r="C81" s="4" t="str">
        <x:v>CA</x:v>
      </x:c>
      <x:c r="D81" s="4" t="str">
        <x:v>Service requests received by the Oakland Call Center (OAK 311)</x:v>
      </x:c>
      <x:c r="E81" s="4" t="str">
        <x:v>311 / service requests</x:v>
      </x:c>
      <x:c r="F81" s="4" t="str">
        <x:v>CSV; JSON</x:v>
      </x:c>
      <x:c r="G81" s="4" t="str">
        <x:v>B</x:v>
      </x:c>
      <x:c r="H81" s="22" t="str">
        <x:v>https://data.oaklandca.gov/d/quth-gb8e</x:v>
      </x:c>
      <x:c r="I81" s="22" t="str">
        <x:v>https://data.oaklandca.gov/api/views/quth-gb8e/rows.csv?accessType=DOWNLOAD</x:v>
      </x:c>
      <x:c r="J81" s="22" t="str">
        <x:v>https://data.oaklandca.gov/resource/quth-gb8e.json</x:v>
      </x:c>
      <x:c r="K81" s="4" t="str">
        <x:v>Socrata bulk export / API</x:v>
      </x:c>
      <x:c r="L81" s="4" t="str">
        <x:v>Check publisher for coverage and update schedule</x:v>
      </x:c>
      <x:c r="M81" s="4" t="str">
        <x:v>Oakland</x:v>
      </x:c>
      <x:c r="N81" s="4" t="str"/>
      <x:c r="O81" s="4" t="str">
        <x:v>Socrata</x:v>
      </x:c>
      <x:c r="P81" s="4" t="str">
        <x:v>Top 50 city proper</x:v>
      </x:c>
      <x:c r="Q81" s="4" t="str">
        <x:v>Standard Socrata endpoint constructed from identified dataset ID</x:v>
      </x:c>
      <x:c r="R81" s="4" t="str">
        <x:v>Identified dataset ID plus standard platform export/API format</x:v>
      </x:c>
      <x:c r="S81" s="4" t="str">
        <x:v>Publisher dataset page</x:v>
      </x:c>
      <x:c r="T81" s="4" t="str">
        <x:v>Public dataset; legacy and SODA3 access rules differ. SODA3 API queries require an app token or user authentication. Confirm export access on the dataset page.</x:v>
      </x:c>
      <x:c r="U81" s="4" t="str">
        <x:v>Review the individual publisher's license and attribution terms before reuse.</x:v>
      </x:c>
      <x:c r="V81" s="22" t="str">
        <x:v>https://data.oaklandca.gov/d/quth-gb8e</x:v>
      </x:c>
      <x:c r="W81" s="4" t="str">
        <x:v>2026-10-07</x:v>
      </x:c>
      <x:c r="X81" s="4" t="str">
        <x:v>No</x:v>
      </x:c>
    </x:row>
    <x:row r="82" ht="64" customHeight="1">
      <x:c r="A82" s="4" t="str">
        <x:v>US0053</x:v>
      </x:c>
      <x:c r="B82" s="4" t="str">
        <x:v>Minneapolis</x:v>
      </x:c>
      <x:c r="C82" s="4" t="str">
        <x:v>MN</x:v>
      </x:c>
      <x:c r="D82" s="4" t="str">
        <x:v>Active Rental Licenses</x:v>
      </x:c>
      <x:c r="E82" s="4" t="str">
        <x:v>Housing</x:v>
      </x:c>
      <x:c r="F82" s="4" t="str">
        <x:v>ArcGIS JSON; CSV/GeoJSON where enabled</x:v>
      </x:c>
      <x:c r="G82" s="4" t="str">
        <x:v>C</x:v>
      </x:c>
      <x:c r="H82" s="22" t="str">
        <x:v>https://opendata.minneapolismn.gov/datasets/active-rental-licenses/data</x:v>
      </x:c>
      <x:c r="I82" s="22" t="str"/>
      <x:c r="J82" s="22" t="str"/>
      <x:c r="K82" s="4" t="str">
        <x:v>ArcGIS dataset page: Download or API</x:v>
      </x:c>
      <x:c r="L82" s="4" t="str">
        <x:v>Check publisher for coverage and update schedule</x:v>
      </x:c>
      <x:c r="M82" s="4" t="str">
        <x:v>Minneapolis</x:v>
      </x:c>
      <x:c r="N82" s="4" t="str"/>
      <x:c r="O82" s="4" t="str">
        <x:v>ArcGIS Hub</x:v>
      </x:c>
      <x:c r="P82" s="4" t="str">
        <x:v>Top 50 city proper</x:v>
      </x:c>
      <x:c r="Q82" s="4" t="str">
        <x:v>Dataset-specific URL; resolve layer service through page</x:v>
      </x:c>
      <x:c r="R82" s="4" t="str">
        <x:v>ArcGIS layer listing; CSV/GeoJSON export availability not individually confirmed</x:v>
      </x:c>
      <x:c r="S82" s="4" t="str">
        <x:v>Publisher layer listing; export not downloaded</x:v>
      </x:c>
      <x:c r="T82" s="4" t="str">
        <x:v>Public listing; authentication requirements and rate limits were not payload-tested.</x:v>
      </x:c>
      <x:c r="U82" s="4" t="str">
        <x:v>Review the individual publisher's license and attribution terms before reuse.</x:v>
      </x:c>
      <x:c r="V82" s="22" t="str">
        <x:v>https://opendata.minneapolismn.gov/datasets/active-rental-licenses/data</x:v>
      </x:c>
      <x:c r="W82" s="4" t="str">
        <x:v>2026-10-07</x:v>
      </x:c>
      <x:c r="X82" s="4" t="str">
        <x:v>No</x:v>
      </x:c>
    </x:row>
    <x:row r="83" ht="64" customHeight="1">
      <x:c r="A83" s="4" t="str">
        <x:v>US0054</x:v>
      </x:c>
      <x:c r="B83" s="4" t="str">
        <x:v>Minneapolis</x:v>
      </x:c>
      <x:c r="C83" s="4" t="str">
        <x:v>MN</x:v>
      </x:c>
      <x:c r="D83" s="4" t="str">
        <x:v>Police Use of Force</x:v>
      </x:c>
      <x:c r="E83" s="4" t="str">
        <x:v>Public safety</x:v>
      </x:c>
      <x:c r="F83" s="4" t="str">
        <x:v>ArcGIS JSON; CSV/GeoJSON where enabled</x:v>
      </x:c>
      <x:c r="G83" s="4" t="str">
        <x:v>C</x:v>
      </x:c>
      <x:c r="H83" s="22" t="str">
        <x:v>https://opendata.minneapolismn.gov/datasets/police-use-of-force</x:v>
      </x:c>
      <x:c r="I83" s="22" t="str"/>
      <x:c r="J83" s="22" t="str"/>
      <x:c r="K83" s="4" t="str">
        <x:v>ArcGIS dataset page: Download or API</x:v>
      </x:c>
      <x:c r="L83" s="4" t="str">
        <x:v>Check publisher for coverage and update schedule</x:v>
      </x:c>
      <x:c r="M83" s="4" t="str">
        <x:v>Minneapolis</x:v>
      </x:c>
      <x:c r="N83" s="4" t="str"/>
      <x:c r="O83" s="4" t="str">
        <x:v>ArcGIS Hub</x:v>
      </x:c>
      <x:c r="P83" s="4" t="str">
        <x:v>Top 50 city proper</x:v>
      </x:c>
      <x:c r="Q83" s="4" t="str">
        <x:v>Dataset-specific URL; resolve layer service through page</x:v>
      </x:c>
      <x:c r="R83" s="4" t="str">
        <x:v>ArcGIS layer listing; CSV/GeoJSON export availability not individually confirmed</x:v>
      </x:c>
      <x:c r="S83" s="4" t="str">
        <x:v>Publisher layer listing; export not downloaded</x:v>
      </x:c>
      <x:c r="T83" s="4" t="str">
        <x:v>Public listing; authentication requirements and rate limits were not payload-tested.</x:v>
      </x:c>
      <x:c r="U83" s="4" t="str">
        <x:v>Review the individual publisher's license and attribution terms before reuse.</x:v>
      </x:c>
      <x:c r="V83" s="22" t="str">
        <x:v>https://opendata.minneapolismn.gov/datasets/police-use-of-force</x:v>
      </x:c>
      <x:c r="W83" s="4" t="str">
        <x:v>2026-10-07</x:v>
      </x:c>
      <x:c r="X83" s="4" t="str">
        <x:v>No</x:v>
      </x:c>
    </x:row>
    <x:row r="84" ht="64" customHeight="1">
      <x:c r="A84" s="4" t="str">
        <x:v>US0081</x:v>
      </x:c>
      <x:c r="B84" s="4" t="str">
        <x:v>Bakersfield</x:v>
      </x:c>
      <x:c r="C84" s="4" t="str">
        <x:v>CA</x:v>
      </x:c>
      <x:c r="D84" s="4" t="str">
        <x:v>City council wards</x:v>
      </x:c>
      <x:c r="E84" s="4" t="str">
        <x:v>Boundaries</x:v>
      </x:c>
      <x:c r="F84" s="4" t="str">
        <x:v>ArcGIS JSON; CSV/GeoJSON where enabled</x:v>
      </x:c>
      <x:c r="G84" s="4" t="str">
        <x:v>C</x:v>
      </x:c>
      <x:c r="H84" s="22" t="str">
        <x:v>https://bakersfielddatalibrary-cob.opendata.arcgis.com/datasets/city-council-wards/about</x:v>
      </x:c>
      <x:c r="I84" s="22" t="str"/>
      <x:c r="J84" s="22" t="str"/>
      <x:c r="K84" s="4" t="str">
        <x:v>ArcGIS dataset page: Download or API</x:v>
      </x:c>
      <x:c r="L84" s="4" t="str">
        <x:v>Check publisher for coverage and update schedule</x:v>
      </x:c>
      <x:c r="M84" s="4" t="str">
        <x:v>Bakersfield</x:v>
      </x:c>
      <x:c r="N84" s="4" t="str"/>
      <x:c r="O84" s="4" t="str">
        <x:v>ArcGIS Hub</x:v>
      </x:c>
      <x:c r="P84" s="4" t="str">
        <x:v>Top 50 city proper</x:v>
      </x:c>
      <x:c r="Q84" s="4" t="str">
        <x:v>Dataset-specific URL; resolve layer service through page</x:v>
      </x:c>
      <x:c r="R84" s="4" t="str">
        <x:v>ArcGIS layer listing; CSV/GeoJSON export availability not individually confirmed</x:v>
      </x:c>
      <x:c r="S84" s="4" t="str">
        <x:v>Publisher layer listing; export not downloaded</x:v>
      </x:c>
      <x:c r="T84" s="4" t="str">
        <x:v>Public listing; authentication requirements and rate limits were not payload-tested.</x:v>
      </x:c>
      <x:c r="U84" s="4" t="str">
        <x:v>Review the individual publisher's license and attribution terms before reuse.</x:v>
      </x:c>
      <x:c r="V84" s="22" t="str">
        <x:v>https://bakersfielddatalibrary-cob.opendata.arcgis.com/datasets/city-council-wards/about</x:v>
      </x:c>
      <x:c r="W84" s="4" t="str">
        <x:v>2026-10-07</x:v>
      </x:c>
      <x:c r="X84" s="4" t="str">
        <x:v>No</x:v>
      </x:c>
    </x:row>
    <x:row r="85" ht="64" customHeight="1">
      <x:c r="A85" s="4" t="str">
        <x:v>US0079</x:v>
      </x:c>
      <x:c r="B85" s="4" t="str">
        <x:v>Tulsa</x:v>
      </x:c>
      <x:c r="C85" s="4" t="str">
        <x:v>OK</x:v>
      </x:c>
      <x:c r="D85" s="4" t="str">
        <x:v>Land use</x:v>
      </x:c>
      <x:c r="E85" s="4" t="str">
        <x:v>Land use</x:v>
      </x:c>
      <x:c r="F85" s="4" t="str">
        <x:v>ArcGIS JSON; CSV/GeoJSON where enabled</x:v>
      </x:c>
      <x:c r="G85" s="4" t="str">
        <x:v>C</x:v>
      </x:c>
      <x:c r="H85" s="22" t="str">
        <x:v>https://gis2-cityoftulsa.opendata.arcgis.com/datasets/landuse-opendata</x:v>
      </x:c>
      <x:c r="I85" s="22" t="str"/>
      <x:c r="J85" s="22" t="str"/>
      <x:c r="K85" s="4" t="str">
        <x:v>ArcGIS dataset page: Download or API</x:v>
      </x:c>
      <x:c r="L85" s="4" t="str">
        <x:v>Check publisher for coverage and update schedule</x:v>
      </x:c>
      <x:c r="M85" s="4" t="str">
        <x:v>Tulsa</x:v>
      </x:c>
      <x:c r="N85" s="4" t="str"/>
      <x:c r="O85" s="4" t="str">
        <x:v>ArcGIS Hub</x:v>
      </x:c>
      <x:c r="P85" s="4" t="str">
        <x:v>Top 50 city proper</x:v>
      </x:c>
      <x:c r="Q85" s="4" t="str">
        <x:v>Dataset-specific URL; resolve layer service through page</x:v>
      </x:c>
      <x:c r="R85" s="4" t="str">
        <x:v>ArcGIS layer listing; CSV/GeoJSON export availability not individually confirmed</x:v>
      </x:c>
      <x:c r="S85" s="4" t="str">
        <x:v>Publisher layer listing; export not downloaded</x:v>
      </x:c>
      <x:c r="T85" s="4" t="str">
        <x:v>Public listing; authentication requirements and rate limits were not payload-tested.</x:v>
      </x:c>
      <x:c r="U85" s="4" t="str">
        <x:v>Review the individual publisher's license and attribution terms before reuse.</x:v>
      </x:c>
      <x:c r="V85" s="22" t="str">
        <x:v>https://gis2-cityoftulsa.opendata.arcgis.com/datasets/landuse-opendata</x:v>
      </x:c>
      <x:c r="W85" s="4" t="str">
        <x:v>2026-10-07</x:v>
      </x:c>
      <x:c r="X85" s="4" t="str">
        <x:v>No</x:v>
      </x:c>
    </x:row>
    <x:row r="86" ht="64" customHeight="1">
      <x:c r="A86" s="4" t="str">
        <x:v>US0055</x:v>
      </x:c>
      <x:c r="B86" s="4" t="str">
        <x:v>Tampa</x:v>
      </x:c>
      <x:c r="C86" s="4" t="str">
        <x:v>FL</x:v>
      </x:c>
      <x:c r="D86" s="4" t="str">
        <x:v>Bike Lanes</x:v>
      </x:c>
      <x:c r="E86" s="4" t="str">
        <x:v>Transport / infrastructure</x:v>
      </x:c>
      <x:c r="F86" s="4" t="str">
        <x:v>ArcGIS JSON; CSV/GeoJSON where enabled</x:v>
      </x:c>
      <x:c r="G86" s="4" t="str">
        <x:v>C</x:v>
      </x:c>
      <x:c r="H86" s="22" t="str">
        <x:v>https://city-tampa.opendata.arcgis.com/datasets/tampa%3A%3Abike-lanes/about</x:v>
      </x:c>
      <x:c r="I86" s="22" t="str"/>
      <x:c r="J86" s="22" t="str"/>
      <x:c r="K86" s="4" t="str">
        <x:v>ArcGIS dataset page: Download or API</x:v>
      </x:c>
      <x:c r="L86" s="4" t="str">
        <x:v>Check publisher for coverage and update schedule</x:v>
      </x:c>
      <x:c r="M86" s="4" t="str">
        <x:v>Tampa</x:v>
      </x:c>
      <x:c r="N86" s="4" t="str"/>
      <x:c r="O86" s="4" t="str">
        <x:v>ArcGIS Hub</x:v>
      </x:c>
      <x:c r="P86" s="4" t="str">
        <x:v>Top 50 city proper</x:v>
      </x:c>
      <x:c r="Q86" s="4" t="str">
        <x:v>Dataset-specific URL; resolve layer service through page</x:v>
      </x:c>
      <x:c r="R86" s="4" t="str">
        <x:v>ArcGIS layer listing; CSV/GeoJSON export availability not individually confirmed</x:v>
      </x:c>
      <x:c r="S86" s="4" t="str">
        <x:v>Publisher layer listing; export not downloaded</x:v>
      </x:c>
      <x:c r="T86" s="4" t="str">
        <x:v>Public listing; authentication requirements and rate limits were not payload-tested.</x:v>
      </x:c>
      <x:c r="U86" s="4" t="str">
        <x:v>Review the individual publisher's license and attribution terms before reuse.</x:v>
      </x:c>
      <x:c r="V86" s="22" t="str">
        <x:v>https://city-tampa.opendata.arcgis.com/datasets/tampa%3A%3Abike-lanes/about</x:v>
      </x:c>
      <x:c r="W86" s="4" t="str">
        <x:v>2026-10-07</x:v>
      </x:c>
      <x:c r="X86" s="4" t="str">
        <x:v>No</x:v>
      </x:c>
    </x:row>
    <x:row r="87" ht="64" customHeight="1">
      <x:c r="A87" s="4" t="str">
        <x:v>US0056</x:v>
      </x:c>
      <x:c r="B87" s="4" t="str">
        <x:v>Tampa</x:v>
      </x:c>
      <x:c r="C87" s="4" t="str">
        <x:v>FL</x:v>
      </x:c>
      <x:c r="D87" s="4" t="str">
        <x:v>Road Centerline</x:v>
      </x:c>
      <x:c r="E87" s="4" t="str">
        <x:v>Transport / infrastructure</x:v>
      </x:c>
      <x:c r="F87" s="4" t="str">
        <x:v>ArcGIS JSON; CSV/GeoJSON where enabled</x:v>
      </x:c>
      <x:c r="G87" s="4" t="str">
        <x:v>C</x:v>
      </x:c>
      <x:c r="H87" s="22" t="str">
        <x:v>https://city-tampa.opendata.arcgis.com/datasets/tampa%3A%3Aroad-centerline/about</x:v>
      </x:c>
      <x:c r="I87" s="22" t="str"/>
      <x:c r="J87" s="22" t="str"/>
      <x:c r="K87" s="4" t="str">
        <x:v>ArcGIS dataset page: Download or API</x:v>
      </x:c>
      <x:c r="L87" s="4" t="str">
        <x:v>Check publisher for coverage and update schedule</x:v>
      </x:c>
      <x:c r="M87" s="4" t="str">
        <x:v>Tampa</x:v>
      </x:c>
      <x:c r="N87" s="4" t="str"/>
      <x:c r="O87" s="4" t="str">
        <x:v>ArcGIS Hub</x:v>
      </x:c>
      <x:c r="P87" s="4" t="str">
        <x:v>Top 50 city proper</x:v>
      </x:c>
      <x:c r="Q87" s="4" t="str">
        <x:v>Dataset-specific URL; resolve layer service through page</x:v>
      </x:c>
      <x:c r="R87" s="4" t="str">
        <x:v>ArcGIS layer listing; CSV/GeoJSON export availability not individually confirmed</x:v>
      </x:c>
      <x:c r="S87" s="4" t="str">
        <x:v>Publisher layer listing; export not downloaded</x:v>
      </x:c>
      <x:c r="T87" s="4" t="str">
        <x:v>Public listing; authentication requirements and rate limits were not payload-tested.</x:v>
      </x:c>
      <x:c r="U87" s="4" t="str">
        <x:v>Review the individual publisher's license and attribution terms before reuse.</x:v>
      </x:c>
      <x:c r="V87" s="22" t="str">
        <x:v>https://city-tampa.opendata.arcgis.com/datasets/tampa%3A%3Aroad-centerline/about</x:v>
      </x:c>
      <x:c r="W87" s="4" t="str">
        <x:v>2026-10-07</x:v>
      </x:c>
      <x:c r="X87" s="4" t="str">
        <x:v>No</x:v>
      </x:c>
    </x:row>
    <x:row r="88" ht="64" customHeight="1">
      <x:c r="A88" s="4" t="str">
        <x:v>US0080</x:v>
      </x:c>
      <x:c r="B88" s="4" t="str">
        <x:v>Aurora</x:v>
      </x:c>
      <x:c r="C88" s="4" t="str">
        <x:v>CO</x:v>
      </x:c>
      <x:c r="D88" s="4" t="str">
        <x:v>Code enforcement violations: six months</x:v>
      </x:c>
      <x:c r="E88" s="4" t="str">
        <x:v>Code enforcement</x:v>
      </x:c>
      <x:c r="F88" s="4" t="str">
        <x:v>ArcGIS JSON; CSV/GeoJSON where enabled</x:v>
      </x:c>
      <x:c r="G88" s="4" t="str">
        <x:v>C</x:v>
      </x:c>
      <x:c r="H88" s="22" t="str">
        <x:v>https://data-auroraco.opendata.arcgis.com/datasets/ba785139dad14a2688fe734e6401a585_161/about</x:v>
      </x:c>
      <x:c r="I88" s="22" t="str"/>
      <x:c r="J88" s="22" t="str"/>
      <x:c r="K88" s="4" t="str">
        <x:v>ArcGIS dataset page: Download or API</x:v>
      </x:c>
      <x:c r="L88" s="4" t="str">
        <x:v>Check publisher for coverage and update schedule</x:v>
      </x:c>
      <x:c r="M88" s="4" t="str">
        <x:v>Aurora</x:v>
      </x:c>
      <x:c r="N88" s="4" t="str">
        <x:v>Rolling six-month window; not a full historical archive.</x:v>
      </x:c>
      <x:c r="O88" s="4" t="str">
        <x:v>ArcGIS Hub</x:v>
      </x:c>
      <x:c r="P88" s="4" t="str">
        <x:v>Top 50 city proper</x:v>
      </x:c>
      <x:c r="Q88" s="4" t="str">
        <x:v>Dataset-specific URL; resolve layer service through page</x:v>
      </x:c>
      <x:c r="R88" s="4" t="str">
        <x:v>ArcGIS layer listing; CSV/GeoJSON export availability not individually confirmed</x:v>
      </x:c>
      <x:c r="S88" s="4" t="str">
        <x:v>Publisher layer listing; export not downloaded</x:v>
      </x:c>
      <x:c r="T88" s="4" t="str">
        <x:v>Public listing; authentication requirements and rate limits were not payload-tested.</x:v>
      </x:c>
      <x:c r="U88" s="4" t="str">
        <x:v>Review the individual publisher's license and attribution terms before reuse.</x:v>
      </x:c>
      <x:c r="V88" s="22" t="str">
        <x:v>https://data-auroraco.opendata.arcgis.com/datasets/ba785139dad14a2688fe734e6401a585_161/about</x:v>
      </x:c>
      <x:c r="W88" s="4" t="str">
        <x:v>2026-10-07</x:v>
      </x:c>
      <x:c r="X88" s="4" t="str">
        <x:v>No</x:v>
      </x:c>
    </x:row>
    <x:row r="89" ht="108" customHeight="1">
      <x:c r="A89" s="4" t="str">
        <x:v>US0090</x:v>
      </x:c>
      <x:c r="B89" s="4" t="str">
        <x:v>Pittsburgh</x:v>
      </x:c>
      <x:c r="C89" s="4" t="str">
        <x:v>PA</x:v>
      </x:c>
      <x:c r="D89" s="4" t="str">
        <x:v>311 service requests archive</x:v>
      </x:c>
      <x:c r="E89" s="4" t="str">
        <x:v>311 / service requests</x:v>
      </x:c>
      <x:c r="F89" s="4" t="str">
        <x:v>CSV</x:v>
      </x:c>
      <x:c r="G89" s="4" t="str">
        <x:v>A</x:v>
      </x:c>
      <x:c r="H89" s="22" t="str">
        <x:v>https://data.wprdc.org/dataset/311-data</x:v>
      </x:c>
      <x:c r="I89" s="22" t="str">
        <x:v>https://data.wprdc.org/datastore/dump/29462525-62a6-45bf-9b5e-ad2e1c06348d</x:v>
      </x:c>
      <x:c r="J89" s="22" t="str"/>
      <x:c r="K89" s="4" t="str">
        <x:v>Direct file</x:v>
      </x:c>
      <x:c r="L89" s="4" t="str">
        <x:v>Historical; stopped updating February 4, 2025</x:v>
      </x:c>
      <x:c r="M89" s="4" t="str">
        <x:v>Pittsburgh</x:v>
      </x:c>
      <x:c r="N89" s="4" t="str">
        <x:v>Publisher explicitly says updates stopped February 4, 2025 after a 311 system transition. If the dump times out, publisher offers https://tools.wprdc.org/downstream/29462525-62a6-45bf-9b5e-ad2e1c06348d. Do not treat as a current feed.</x:v>
      </x:c>
      <x:c r="O89" s="4" t="str">
        <x:v>CKAN</x:v>
      </x:c>
      <x:c r="P89" s="4" t="str">
        <x:v>Additional regional hub</x:v>
      </x:c>
      <x:c r="Q89" s="4" t="str">
        <x:v>Published URL</x:v>
      </x:c>
      <x:c r="R89" s="4" t="str">
        <x:v>Published file link or explicit publisher/registry format metadata</x:v>
      </x:c>
      <x:c r="S89" s="4" t="str">
        <x:v>Publisher dataset page</x:v>
      </x:c>
      <x:c r="T89" s="4" t="str">
        <x:v>Public listing; authentication requirements and rate limits were not payload-tested.</x:v>
      </x:c>
      <x:c r="U89" s="4" t="str">
        <x:v>Review the individual publisher's license and attribution terms before reuse.</x:v>
      </x:c>
      <x:c r="V89" s="22" t="str">
        <x:v>https://data.wprdc.org/dataset/311-data</x:v>
      </x:c>
      <x:c r="W89" s="4" t="str">
        <x:v>2026-10-07</x:v>
      </x:c>
      <x:c r="X89" s="4" t="str">
        <x:v>No</x:v>
      </x:c>
    </x:row>
    <x:row r="90" ht="80" customHeight="1">
      <x:c r="A90" s="4" t="str">
        <x:v>US0091</x:v>
      </x:c>
      <x:c r="B90" s="4" t="str">
        <x:v>Cincinnati</x:v>
      </x:c>
      <x:c r="C90" s="4" t="str">
        <x:v>OH</x:v>
      </x:c>
      <x:c r="D90" s="4" t="str">
        <x:v>Reported Crime (STARS Category Offenses) on or after June 3, 2024</x:v>
      </x:c>
      <x:c r="E90" s="4" t="str">
        <x:v>Public safety / crime</x:v>
      </x:c>
      <x:c r="F90" s="4" t="str">
        <x:v>CSV; JSON</x:v>
      </x:c>
      <x:c r="G90" s="4" t="str">
        <x:v>B</x:v>
      </x:c>
      <x:c r="H90" s="22" t="str">
        <x:v>https://data.cincinnati-oh.gov/d/7aqy-xrv9</x:v>
      </x:c>
      <x:c r="I90" s="22" t="str">
        <x:v>https://data.cincinnati-oh.gov/api/views/7aqy-xrv9/rows.csv?accessType=DOWNLOAD</x:v>
      </x:c>
      <x:c r="J90" s="22" t="str">
        <x:v>https://data.cincinnati-oh.gov/resource/7aqy-xrv9.json</x:v>
      </x:c>
      <x:c r="K90" s="4" t="str">
        <x:v>Socrata bulk export / API</x:v>
      </x:c>
      <x:c r="L90" s="4" t="str">
        <x:v>Series beginning June 3, 2024</x:v>
      </x:c>
      <x:c r="M90" s="4" t="str">
        <x:v>Cincinnati</x:v>
      </x:c>
      <x:c r="N90" s="4" t="str">
        <x:v>New reporting series beginning June 3, 2024. Do not concatenate the older series without checking definitions and schema.</x:v>
      </x:c>
      <x:c r="O90" s="4" t="str">
        <x:v>Socrata</x:v>
      </x:c>
      <x:c r="P90" s="4" t="str">
        <x:v>Additional regional hub</x:v>
      </x:c>
      <x:c r="Q90" s="4" t="str">
        <x:v>Standard Socrata endpoint constructed from identified dataset ID</x:v>
      </x:c>
      <x:c r="R90" s="4" t="str">
        <x:v>Identified dataset ID plus standard platform export/API format</x:v>
      </x:c>
      <x:c r="S90" s="4" t="str">
        <x:v>Publisher dataset page</x:v>
      </x:c>
      <x:c r="T90" s="4" t="str">
        <x:v>Public dataset; legacy and SODA3 access rules differ. SODA3 API queries require an app token or user authentication. Confirm export access on the dataset page.</x:v>
      </x:c>
      <x:c r="U90" s="4" t="str">
        <x:v>Review the individual publisher's license and attribution terms before reuse.</x:v>
      </x:c>
      <x:c r="V90" s="22" t="str">
        <x:v>https://data.cincinnati-oh.gov/d/7aqy-xrv9</x:v>
      </x:c>
      <x:c r="W90" s="4" t="str">
        <x:v>2026-10-07</x:v>
      </x:c>
      <x:c r="X90" s="4" t="str">
        <x:v>No</x:v>
      </x:c>
    </x:row>
    <x:row r="91" ht="80" customHeight="1">
      <x:c r="A91" s="4" t="str">
        <x:v>US0083</x:v>
      </x:c>
      <x:c r="B91" s="4" t="str">
        <x:v>Buffalo</x:v>
      </x:c>
      <x:c r="C91" s="4" t="str">
        <x:v>NY</x:v>
      </x:c>
      <x:c r="D91" s="4" t="str">
        <x:v>Crime incidents</x:v>
      </x:c>
      <x:c r="E91" s="4" t="str">
        <x:v>Public safety</x:v>
      </x:c>
      <x:c r="F91" s="4" t="str">
        <x:v>CSV; JSON</x:v>
      </x:c>
      <x:c r="G91" s="4" t="str">
        <x:v>B</x:v>
      </x:c>
      <x:c r="H91" s="22" t="str">
        <x:v>https://data.buffalony.gov/d/d6g9-xbgu</x:v>
      </x:c>
      <x:c r="I91" s="22" t="str">
        <x:v>https://data.buffalony.gov/api/views/d6g9-xbgu/rows.csv?accessType=DOWNLOAD</x:v>
      </x:c>
      <x:c r="J91" s="22" t="str">
        <x:v>https://data.buffalony.gov/resource/d6g9-xbgu.json</x:v>
      </x:c>
      <x:c r="K91" s="4" t="str">
        <x:v>Socrata bulk export / API</x:v>
      </x:c>
      <x:c r="L91" s="4" t="str">
        <x:v>Check publisher for coverage and update schedule</x:v>
      </x:c>
      <x:c r="M91" s="4" t="str">
        <x:v>Buffalo</x:v>
      </x:c>
      <x:c r="N91" s="4" t="str"/>
      <x:c r="O91" s="4" t="str">
        <x:v>Socrata</x:v>
      </x:c>
      <x:c r="P91" s="4" t="str">
        <x:v>Additional regional hub</x:v>
      </x:c>
      <x:c r="Q91" s="4" t="str">
        <x:v>Standard Socrata endpoint constructed from identified dataset ID</x:v>
      </x:c>
      <x:c r="R91" s="4" t="str">
        <x:v>Identified dataset ID plus standard platform export/API format</x:v>
      </x:c>
      <x:c r="S91" s="4" t="str">
        <x:v>Publisher dataset page</x:v>
      </x:c>
      <x:c r="T91" s="4" t="str">
        <x:v>Public dataset; legacy and SODA3 access rules differ. SODA3 API queries require an app token or user authentication. Confirm export access on the dataset page.</x:v>
      </x:c>
      <x:c r="U91" s="4" t="str">
        <x:v>Review the individual publisher's license and attribution terms before reuse.</x:v>
      </x:c>
      <x:c r="V91" s="22" t="str">
        <x:v>https://data.buffalony.gov/d/d6g9-xbgu</x:v>
      </x:c>
      <x:c r="W91" s="4" t="str">
        <x:v>2026-10-07</x:v>
      </x:c>
      <x:c r="X91" s="4" t="str">
        <x:v>No</x:v>
      </x:c>
    </x:row>
    <x:row r="92" ht="80" customHeight="1">
      <x:c r="A92" s="4" t="str">
        <x:v>US0084</x:v>
      </x:c>
      <x:c r="B92" s="4" t="str">
        <x:v>New Orleans</x:v>
      </x:c>
      <x:c r="C92" s="4" t="str">
        <x:v>LA</x:v>
      </x:c>
      <x:c r="D92" s="4" t="str">
        <x:v>Permits</x:v>
      </x:c>
      <x:c r="E92" s="4" t="str">
        <x:v>Development</x:v>
      </x:c>
      <x:c r="F92" s="4" t="str">
        <x:v>CSV; JSON</x:v>
      </x:c>
      <x:c r="G92" s="4" t="str">
        <x:v>B</x:v>
      </x:c>
      <x:c r="H92" s="22" t="str">
        <x:v>https://data.nola.gov/d/rcm3-fn58</x:v>
      </x:c>
      <x:c r="I92" s="22" t="str">
        <x:v>https://data.nola.gov/api/views/rcm3-fn58/rows.csv?accessType=DOWNLOAD</x:v>
      </x:c>
      <x:c r="J92" s="22" t="str">
        <x:v>https://data.nola.gov/resource/rcm3-fn58.json</x:v>
      </x:c>
      <x:c r="K92" s="4" t="str">
        <x:v>Socrata bulk export / API</x:v>
      </x:c>
      <x:c r="L92" s="4" t="str">
        <x:v>Check publisher for coverage and update schedule</x:v>
      </x:c>
      <x:c r="M92" s="4" t="str">
        <x:v>New Orleans</x:v>
      </x:c>
      <x:c r="N92" s="4" t="str"/>
      <x:c r="O92" s="4" t="str">
        <x:v>Socrata</x:v>
      </x:c>
      <x:c r="P92" s="4" t="str">
        <x:v>Additional regional hub</x:v>
      </x:c>
      <x:c r="Q92" s="4" t="str">
        <x:v>Standard Socrata endpoint constructed from identified dataset ID</x:v>
      </x:c>
      <x:c r="R92" s="4" t="str">
        <x:v>Identified dataset ID plus standard platform export/API format</x:v>
      </x:c>
      <x:c r="S92" s="4" t="str">
        <x:v>Publisher dataset page</x:v>
      </x:c>
      <x:c r="T92" s="4" t="str">
        <x:v>Public dataset; legacy and SODA3 access rules differ. SODA3 API queries require an app token or user authentication. Confirm export access on the dataset page.</x:v>
      </x:c>
      <x:c r="U92" s="4" t="str">
        <x:v>Review the individual publisher's license and attribution terms before reuse.</x:v>
      </x:c>
      <x:c r="V92" s="22" t="str">
        <x:v>https://data.nola.gov/d/rcm3-fn58</x:v>
      </x:c>
      <x:c r="W92" s="4" t="str">
        <x:v>2026-10-07</x:v>
      </x:c>
      <x:c r="X92" s="4" t="str">
        <x:v>No</x:v>
      </x:c>
    </x:row>
    <x:row r="93" ht="80" customHeight="1">
      <x:c r="A93" s="4" t="str">
        <x:v>US0085</x:v>
      </x:c>
      <x:c r="B93" s="4" t="str">
        <x:v>New Orleans</x:v>
      </x:c>
      <x:c r="C93" s="4" t="str">
        <x:v>LA</x:v>
      </x:c>
      <x:c r="D93" s="4" t="str">
        <x:v>Police calls for service 2026</x:v>
      </x:c>
      <x:c r="E93" s="4" t="str">
        <x:v>Public safety</x:v>
      </x:c>
      <x:c r="F93" s="4" t="str">
        <x:v>CSV; JSON</x:v>
      </x:c>
      <x:c r="G93" s="4" t="str">
        <x:v>B</x:v>
      </x:c>
      <x:c r="H93" s="22" t="str">
        <x:v>https://data.nola.gov/d/es9j-6y5d</x:v>
      </x:c>
      <x:c r="I93" s="22" t="str">
        <x:v>https://data.nola.gov/api/views/es9j-6y5d/rows.csv?accessType=DOWNLOAD</x:v>
      </x:c>
      <x:c r="J93" s="22" t="str">
        <x:v>https://data.nola.gov/resource/es9j-6y5d.json</x:v>
      </x:c>
      <x:c r="K93" s="4" t="str">
        <x:v>Socrata bulk export / API</x:v>
      </x:c>
      <x:c r="L93" s="4" t="str">
        <x:v>Year-specific series</x:v>
      </x:c>
      <x:c r="M93" s="4" t="str">
        <x:v>New Orleans</x:v>
      </x:c>
      <x:c r="N93" s="4" t="str"/>
      <x:c r="O93" s="4" t="str">
        <x:v>Socrata</x:v>
      </x:c>
      <x:c r="P93" s="4" t="str">
        <x:v>Additional regional hub</x:v>
      </x:c>
      <x:c r="Q93" s="4" t="str">
        <x:v>Standard Socrata endpoint constructed from identified dataset ID</x:v>
      </x:c>
      <x:c r="R93" s="4" t="str">
        <x:v>Identified dataset ID plus standard platform export/API format</x:v>
      </x:c>
      <x:c r="S93" s="4" t="str">
        <x:v>Publisher dataset page</x:v>
      </x:c>
      <x:c r="T93" s="4" t="str">
        <x:v>Public dataset; legacy and SODA3 access rules differ. SODA3 API queries require an app token or user authentication. Confirm export access on the dataset page.</x:v>
      </x:c>
      <x:c r="U93" s="4" t="str">
        <x:v>Review the individual publisher's license and attribution terms before reuse.</x:v>
      </x:c>
      <x:c r="V93" s="22" t="str">
        <x:v>https://data.nola.gov/d/es9j-6y5d</x:v>
      </x:c>
      <x:c r="W93" s="4" t="str">
        <x:v>2026-10-07</x:v>
      </x:c>
      <x:c r="X93" s="4" t="str">
        <x:v>No</x:v>
      </x:c>
    </x:row>
    <x:row r="94" ht="80" customHeight="1">
      <x:c r="A94" s="4" t="str">
        <x:v>US0086</x:v>
      </x:c>
      <x:c r="B94" s="4" t="str">
        <x:v>New Orleans</x:v>
      </x:c>
      <x:c r="C94" s="4" t="str">
        <x:v>LA</x:v>
      </x:c>
      <x:c r="D94" s="4" t="str">
        <x:v>Municipal building energy use</x:v>
      </x:c>
      <x:c r="E94" s="4" t="str">
        <x:v>Energy</x:v>
      </x:c>
      <x:c r="F94" s="4" t="str">
        <x:v>CSV; JSON; XML</x:v>
      </x:c>
      <x:c r="G94" s="4" t="str">
        <x:v>A</x:v>
      </x:c>
      <x:c r="H94" s="22" t="str">
        <x:v>https://data.nola.gov/d/dm3n-f3pu</x:v>
      </x:c>
      <x:c r="I94" s="22" t="str">
        <x:v>https://data.nola.gov/api/v3/views/dm3n-f3pu/export.csv?accessType=DOWNLOAD</x:v>
      </x:c>
      <x:c r="J94" s="22" t="str">
        <x:v>https://data.nola.gov/api/v3/views/dm3n-f3pu/query.json?accessType=DOWNLOAD</x:v>
      </x:c>
      <x:c r="K94" s="4" t="str">
        <x:v>Published Socrata export / API</x:v>
      </x:c>
      <x:c r="L94" s="4" t="str">
        <x:v>Check publisher for coverage and update schedule</x:v>
      </x:c>
      <x:c r="M94" s="4" t="str">
        <x:v>New Orleans</x:v>
      </x:c>
      <x:c r="N94" s="4" t="str">
        <x:v>Monthly energy, emissions and Energy STAR Portfolio Manager metrics for city-owned properties.</x:v>
      </x:c>
      <x:c r="O94" s="4" t="str">
        <x:v>Socrata</x:v>
      </x:c>
      <x:c r="P94" s="4" t="str">
        <x:v>Additional regional hub</x:v>
      </x:c>
      <x:c r="Q94" s="4" t="str">
        <x:v>Published URL</x:v>
      </x:c>
      <x:c r="R94" s="4" t="str">
        <x:v>Published file link or explicit publisher/registry format metadata</x:v>
      </x:c>
      <x:c r="S94" s="4" t="str">
        <x:v>Official Data.gov metadata lists exact CSV/JSON exports</x:v>
      </x:c>
      <x:c r="T94" s="4" t="str">
        <x:v>Public dataset; legacy and SODA3 access rules differ. SODA3 API queries require an app token or user authentication. Confirm export access on the dataset page.</x:v>
      </x:c>
      <x:c r="U94" s="4" t="str">
        <x:v>Review the individual publisher's license and attribution terms before reuse.</x:v>
      </x:c>
      <x:c r="V94" s="22" t="str">
        <x:v>https://catalog.data.gov/dataset/municipal-building-energy-use</x:v>
      </x:c>
      <x:c r="W94" s="4" t="str">
        <x:v>2026-10-07</x:v>
      </x:c>
      <x:c r="X94" s="4" t="str">
        <x:v>No</x:v>
      </x:c>
    </x:row>
    <x:row r="95" ht="80" customHeight="1">
      <x:c r="A95" s="4" t="str">
        <x:v>US0087</x:v>
      </x:c>
      <x:c r="B95" s="4" t="str">
        <x:v>Honolulu</x:v>
      </x:c>
      <x:c r="C95" s="4" t="str">
        <x:v>HI</x:v>
      </x:c>
      <x:c r="D95" s="4" t="str">
        <x:v>Building permits: 2005-01-01 through 2025-06-30</x:v>
      </x:c>
      <x:c r="E95" s="4" t="str">
        <x:v>Development</x:v>
      </x:c>
      <x:c r="F95" s="4" t="str">
        <x:v>CSV; JSON</x:v>
      </x:c>
      <x:c r="G95" s="4" t="str">
        <x:v>B</x:v>
      </x:c>
      <x:c r="H95" s="22" t="str">
        <x:v>https://data.honolulu.gov/d/4vab-c87q</x:v>
      </x:c>
      <x:c r="I95" s="22" t="str">
        <x:v>https://data.honolulu.gov/api/views/4vab-c87q/rows.csv?accessType=DOWNLOAD</x:v>
      </x:c>
      <x:c r="J95" s="22" t="str">
        <x:v>https://data.honolulu.gov/resource/4vab-c87q.json</x:v>
      </x:c>
      <x:c r="K95" s="4" t="str">
        <x:v>Socrata bulk export / API</x:v>
      </x:c>
      <x:c r="L95" s="4" t="str">
        <x:v>Historical / bounded series</x:v>
      </x:c>
      <x:c r="M95" s="4" t="str">
        <x:v>City and County of Honolulu (Oahu)</x:v>
      </x:c>
      <x:c r="N95" s="4" t="str">
        <x:v>Published title ends 2025-06-30. Do not treat as a current 2026 feed.</x:v>
      </x:c>
      <x:c r="O95" s="4" t="str">
        <x:v>Socrata</x:v>
      </x:c>
      <x:c r="P95" s="4" t="str">
        <x:v>Additional regional hub</x:v>
      </x:c>
      <x:c r="Q95" s="4" t="str">
        <x:v>Standard Socrata endpoint constructed from identified dataset ID</x:v>
      </x:c>
      <x:c r="R95" s="4" t="str">
        <x:v>Identified dataset ID plus standard platform export/API format</x:v>
      </x:c>
      <x:c r="S95" s="4" t="str">
        <x:v>Publisher dataset page</x:v>
      </x:c>
      <x:c r="T95" s="4" t="str">
        <x:v>Public dataset; legacy and SODA3 access rules differ. SODA3 API queries require an app token or user authentication. Confirm export access on the dataset page.</x:v>
      </x:c>
      <x:c r="U95" s="4" t="str">
        <x:v>Review the individual publisher's license and attribution terms before reuse.</x:v>
      </x:c>
      <x:c r="V95" s="22" t="str">
        <x:v>https://data.honolulu.gov/d/4vab-c87q</x:v>
      </x:c>
      <x:c r="W95" s="4" t="str">
        <x:v>2026-10-07</x:v>
      </x:c>
      <x:c r="X95" s="4" t="str">
        <x:v>No</x:v>
      </x:c>
    </x:row>
    <x:row r="96" ht="80" customHeight="1">
      <x:c r="A96" s="4" t="str">
        <x:v>US0092</x:v>
      </x:c>
      <x:c r="B96" s="4" t="str">
        <x:v>Orlando</x:v>
      </x:c>
      <x:c r="C96" s="4" t="str">
        <x:v>FL</x:v>
      </x:c>
      <x:c r="D96" s="4" t="str">
        <x:v>Permit Applications</x:v>
      </x:c>
      <x:c r="E96" s="4" t="str">
        <x:v>Construction / permits</x:v>
      </x:c>
      <x:c r="F96" s="4" t="str">
        <x:v>CSV; JSON</x:v>
      </x:c>
      <x:c r="G96" s="4" t="str">
        <x:v>B</x:v>
      </x:c>
      <x:c r="H96" s="22" t="str">
        <x:v>https://data.cityoforlando.net/d/ryhf-m453</x:v>
      </x:c>
      <x:c r="I96" s="22" t="str">
        <x:v>https://data.cityoforlando.net/api/views/ryhf-m453/rows.csv?accessType=DOWNLOAD</x:v>
      </x:c>
      <x:c r="J96" s="22" t="str">
        <x:v>https://data.cityoforlando.net/resource/ryhf-m453.json</x:v>
      </x:c>
      <x:c r="K96" s="4" t="str">
        <x:v>Socrata bulk export / API</x:v>
      </x:c>
      <x:c r="L96" s="4" t="str">
        <x:v>Check publisher for coverage and update schedule</x:v>
      </x:c>
      <x:c r="M96" s="4" t="str">
        <x:v>Orlando</x:v>
      </x:c>
      <x:c r="N96" s="4" t="str">
        <x:v>Applications are not the same as issued permits. City of Orlando coverage, not all Orange County.</x:v>
      </x:c>
      <x:c r="O96" s="4" t="str">
        <x:v>Socrata</x:v>
      </x:c>
      <x:c r="P96" s="4" t="str">
        <x:v>Additional regional hub</x:v>
      </x:c>
      <x:c r="Q96" s="4" t="str">
        <x:v>Standard Socrata endpoint constructed from identified dataset ID</x:v>
      </x:c>
      <x:c r="R96" s="4" t="str">
        <x:v>Identified dataset ID plus standard platform export/API format</x:v>
      </x:c>
      <x:c r="S96" s="4" t="str">
        <x:v>Publisher dataset page</x:v>
      </x:c>
      <x:c r="T96" s="4" t="str">
        <x:v>Public dataset; legacy and SODA3 access rules differ. SODA3 API queries require an app token or user authentication. Confirm export access on the dataset page.</x:v>
      </x:c>
      <x:c r="U96" s="4" t="str">
        <x:v>Review the individual publisher's license and attribution terms before reuse.</x:v>
      </x:c>
      <x:c r="V96" s="22" t="str">
        <x:v>https://data.cityoforlando.net/d/ryhf-m453</x:v>
      </x:c>
      <x:c r="W96" s="4" t="str">
        <x:v>2026-10-07</x:v>
      </x:c>
      <x:c r="X96" s="4" t="str">
        <x:v>No</x:v>
      </x:c>
    </x:row>
    <x:row r="97" ht="64" customHeight="1">
      <x:c r="A97" s="4" t="str">
        <x:v>US0093</x:v>
      </x:c>
      <x:c r="B97" s="4" t="str">
        <x:v>Cleveland</x:v>
      </x:c>
      <x:c r="C97" s="4" t="str">
        <x:v>OH</x:v>
      </x:c>
      <x:c r="D97" s="4" t="str">
        <x:v>Construction project applications</x:v>
      </x:c>
      <x:c r="E97" s="4" t="str">
        <x:v>Construction / permits</x:v>
      </x:c>
      <x:c r="F97" s="4" t="str">
        <x:v>ArcGIS JSON; CSV/GeoJSON where enabled</x:v>
      </x:c>
      <x:c r="G97" s="4" t="str">
        <x:v>C</x:v>
      </x:c>
      <x:c r="H97" s="22" t="str">
        <x:v>https://data.clevelandohio.gov/datasets/577cda76a12e4377bec5eed207383264_0/explore</x:v>
      </x:c>
      <x:c r="I97" s="22" t="str"/>
      <x:c r="J97" s="22" t="str"/>
      <x:c r="K97" s="4" t="str">
        <x:v>ArcGIS dataset page: Download or API</x:v>
      </x:c>
      <x:c r="L97" s="4" t="str">
        <x:v>Check publisher for coverage and update schedule</x:v>
      </x:c>
      <x:c r="M97" s="4" t="str">
        <x:v>Cleveland</x:v>
      </x:c>
      <x:c r="N97" s="4" t="str">
        <x:v>Publisher describes applications submitted since 2025, including pending and approved statuses.</x:v>
      </x:c>
      <x:c r="O97" s="4" t="str">
        <x:v>ArcGIS Hub</x:v>
      </x:c>
      <x:c r="P97" s="4" t="str">
        <x:v>Additional regional hub</x:v>
      </x:c>
      <x:c r="Q97" s="4" t="str">
        <x:v>Dataset-specific URL; resolve layer service through page</x:v>
      </x:c>
      <x:c r="R97" s="4" t="str">
        <x:v>ArcGIS layer listing; CSV/GeoJSON export availability not individually confirmed</x:v>
      </x:c>
      <x:c r="S97" s="4" t="str">
        <x:v>Publisher layer listing; export not downloaded</x:v>
      </x:c>
      <x:c r="T97" s="4" t="str">
        <x:v>Public listing; authentication requirements and rate limits were not payload-tested.</x:v>
      </x:c>
      <x:c r="U97" s="4" t="str">
        <x:v>Review the individual publisher's license and attribution terms before reuse.</x:v>
      </x:c>
      <x:c r="V97" s="22" t="str">
        <x:v>https://data.clevelandohio.gov/datasets/577cda76a12e4377bec5eed207383264_0/explore</x:v>
      </x:c>
      <x:c r="W97" s="4" t="str">
        <x:v>2026-10-07</x:v>
      </x:c>
      <x:c r="X97" s="4" t="str">
        <x:v>No</x:v>
      </x:c>
    </x:row>
    <x:row r="98" ht="66" customHeight="1">
      <x:c r="A98" s="4" t="str">
        <x:v>US0094</x:v>
      </x:c>
      <x:c r="B98" s="4" t="str">
        <x:v>Cleveland</x:v>
      </x:c>
      <x:c r="C98" s="4" t="str">
        <x:v>OH</x:v>
      </x:c>
      <x:c r="D98" s="4" t="str">
        <x:v>Crime incidents</x:v>
      </x:c>
      <x:c r="E98" s="4" t="str">
        <x:v>Public safety / crime</x:v>
      </x:c>
      <x:c r="F98" s="4" t="str">
        <x:v>ArcGIS JSON; CSV/GeoJSON where enabled</x:v>
      </x:c>
      <x:c r="G98" s="4" t="str">
        <x:v>C</x:v>
      </x:c>
      <x:c r="H98" s="22" t="str">
        <x:v>https://data.clevelandohio.gov/datasets/ClevelandGIS%3A%3Acrime-incidents/about</x:v>
      </x:c>
      <x:c r="I98" s="22" t="str"/>
      <x:c r="J98" s="22" t="str"/>
      <x:c r="K98" s="4" t="str">
        <x:v>ArcGIS dataset page: Download or API</x:v>
      </x:c>
      <x:c r="L98" s="4" t="str">
        <x:v>Check publisher for coverage and update schedule</x:v>
      </x:c>
      <x:c r="M98" s="4" t="str">
        <x:v>Cleveland</x:v>
      </x:c>
      <x:c r="N98" s="4" t="str">
        <x:v>Publisher describes this series as starting November 2025. Confirm time coverage before longitudinal comparisons.</x:v>
      </x:c>
      <x:c r="O98" s="4" t="str">
        <x:v>ArcGIS Hub</x:v>
      </x:c>
      <x:c r="P98" s="4" t="str">
        <x:v>Additional regional hub</x:v>
      </x:c>
      <x:c r="Q98" s="4" t="str">
        <x:v>Dataset-specific URL; resolve layer service through page</x:v>
      </x:c>
      <x:c r="R98" s="4" t="str">
        <x:v>ArcGIS layer listing; CSV/GeoJSON export availability not individually confirmed</x:v>
      </x:c>
      <x:c r="S98" s="4" t="str">
        <x:v>Publisher layer listing; export not downloaded</x:v>
      </x:c>
      <x:c r="T98" s="4" t="str">
        <x:v>Public listing; authentication requirements and rate limits were not payload-tested.</x:v>
      </x:c>
      <x:c r="U98" s="4" t="str">
        <x:v>Review the individual publisher's license and attribution terms before reuse.</x:v>
      </x:c>
      <x:c r="V98" s="22" t="str">
        <x:v>https://data.clevelandohio.gov/datasets/ClevelandGIS%3A%3Acrime-incidents/about</x:v>
      </x:c>
      <x:c r="W98" s="4" t="str">
        <x:v>2026-10-07</x:v>
      </x:c>
      <x:c r="X98" s="4" t="str">
        <x:v>No</x:v>
      </x:c>
    </x:row>
    <x:row r="99" ht="66" customHeight="1">
      <x:c r="A99" s="4" t="str">
        <x:v>US0095</x:v>
      </x:c>
      <x:c r="B99" s="4" t="str">
        <x:v>St. Louis</x:v>
      </x:c>
      <x:c r="C99" s="4" t="str">
        <x:v>MO</x:v>
      </x:c>
      <x:c r="D99" s="4" t="str">
        <x:v>Assessor parcels, 2017 to 2025</x:v>
      </x:c>
      <x:c r="E99" s="4" t="str">
        <x:v>Property / parcels</x:v>
      </x:c>
      <x:c r="F99" s="4" t="str">
        <x:v>CSV ZIP</x:v>
      </x:c>
      <x:c r="G99" s="4" t="str">
        <x:v>A</x:v>
      </x:c>
      <x:c r="H99" s="22" t="str">
        <x:v>https://www.stlouis-mo.gov/data/datasets/distribution.cfm?id=189</x:v>
      </x:c>
      <x:c r="I99" s="22" t="str">
        <x:v>https://static.stlouis-mo.gov/open-data/assessor/Parcels-CSV-2017-2025.zip</x:v>
      </x:c>
      <x:c r="J99" s="22" t="str"/>
      <x:c r="K99" s="4" t="str">
        <x:v>Direct file</x:v>
      </x:c>
      <x:c r="L99" s="4" t="str">
        <x:v>Historical annual collection, 2017 to 2025</x:v>
      </x:c>
      <x:c r="M99" s="4" t="str">
        <x:v>St. Louis</x:v>
      </x:c>
      <x:c r="N99" s="4" t="str">
        <x:v>ZIP archive of annual CSV parcel assessment data. Publisher page includes a field dictionary. City only, not St. Louis County.</x:v>
      </x:c>
      <x:c r="O99" s="4" t="str">
        <x:v>Direct files / municipal portal</x:v>
      </x:c>
      <x:c r="P99" s="4" t="str">
        <x:v>Additional regional hub</x:v>
      </x:c>
      <x:c r="Q99" s="4" t="str">
        <x:v>Published URL</x:v>
      </x:c>
      <x:c r="R99" s="4" t="str">
        <x:v>Published file link or explicit publisher/registry format metadata</x:v>
      </x:c>
      <x:c r="S99" s="4" t="str">
        <x:v>Publisher dataset page</x:v>
      </x:c>
      <x:c r="T99" s="4" t="str">
        <x:v>Public listing; authentication requirements and rate limits were not payload-tested.</x:v>
      </x:c>
      <x:c r="U99" s="4" t="str">
        <x:v>Review the individual publisher's license and attribution terms before reuse.</x:v>
      </x:c>
      <x:c r="V99" s="22" t="str">
        <x:v>https://www.stlouis-mo.gov/data/datasets/distribution.cfm?id=189</x:v>
      </x:c>
      <x:c r="W99" s="4" t="str">
        <x:v>2026-10-07</x:v>
      </x:c>
      <x:c r="X99" s="4" t="str">
        <x:v>No</x:v>
      </x:c>
    </x:row>
    <x:row r="100" ht="108" customHeight="1">
      <x:c r="A100" s="4" t="str">
        <x:v>US0096</x:v>
      </x:c>
      <x:c r="B100" s="4" t="str">
        <x:v>Salt Lake City</x:v>
      </x:c>
      <x:c r="C100" s="4" t="str">
        <x:v>UT</x:v>
      </x:c>
      <x:c r="D100" s="4" t="str">
        <x:v>Parcels</x:v>
      </x:c>
      <x:c r="E100" s="4" t="str">
        <x:v>Property / parcels</x:v>
      </x:c>
      <x:c r="F100" s="4" t="str">
        <x:v>GeoJSON; ArcGIS JSON</x:v>
      </x:c>
      <x:c r="G100" s="4" t="str">
        <x:v>A</x:v>
      </x:c>
      <x:c r="H100" s="22" t="str">
        <x:v>https://maps.slc.gov/server/rest/services/Public_Maps/parcels/MapServer/0</x:v>
      </x:c>
      <x:c r="I100" s="22" t="str"/>
      <x:c r="J100" s="22" t="str">
        <x:v>https://maps.slc.gov/server/rest/services/Public_Maps/parcels/MapServer/0</x:v>
      </x:c>
      <x:c r="K100" s="4" t="str">
        <x:v>ArcGIS REST query; paginate responses</x:v>
      </x:c>
      <x:c r="L100" s="4" t="str">
        <x:v>Check publisher for coverage and update schedule</x:v>
      </x:c>
      <x:c r="M100" s="4" t="str">
        <x:v>Salt Lake City</x:v>
      </x:c>
      <x:c r="N100" s="4" t="str">
        <x:v>Layer metadata sets maxRecordCount=1000 and supports pagination. Append /query and request where=1=1, outFields=*, outSR=4326, f=geojson. A single response is not a full export. Native CRS is not WGS84; request output reprojection.</x:v>
      </x:c>
      <x:c r="O100" s="4" t="str">
        <x:v>ArcGIS REST / municipal portal</x:v>
      </x:c>
      <x:c r="P100" s="4" t="str">
        <x:v>Additional regional hub</x:v>
      </x:c>
      <x:c r="Q100" s="4" t="str">
        <x:v>Published layer service URL</x:v>
      </x:c>
      <x:c r="R100" s="4" t="str">
        <x:v>Published file link or explicit publisher/registry format metadata</x:v>
      </x:c>
      <x:c r="S100" s="4" t="str">
        <x:v>Publisher REST metadata explicitly supports GeoJSON and pagination</x:v>
      </x:c>
      <x:c r="T100" s="4" t="str">
        <x:v>Public listing; authentication requirements and rate limits were not payload-tested.</x:v>
      </x:c>
      <x:c r="U100" s="4" t="str">
        <x:v>Review the individual publisher's license and attribution terms before reuse.</x:v>
      </x:c>
      <x:c r="V100" s="22" t="str">
        <x:v>https://maps.slc.gov/server/rest/services/Public_Maps/parcels/MapServer/0</x:v>
      </x:c>
      <x:c r="W100" s="4" t="str">
        <x:v>2026-10-07</x:v>
      </x:c>
      <x:c r="X100" s="4" t="str">
        <x:v>No</x:v>
      </x:c>
    </x:row>
    <x:row r="101" ht="80" customHeight="1">
      <x:c r="A101" s="4" t="str">
        <x:v>US0097</x:v>
      </x:c>
      <x:c r="B101" s="4" t="str">
        <x:v>Richmond</x:v>
      </x:c>
      <x:c r="C101" s="4" t="str">
        <x:v>VA</x:v>
      </x:c>
      <x:c r="D101" s="4" t="str">
        <x:v>City Contracts</x:v>
      </x:c>
      <x:c r="E101" s="4" t="str">
        <x:v>Finance / procurement</x:v>
      </x:c>
      <x:c r="F101" s="4" t="str">
        <x:v>CSV; JSON</x:v>
      </x:c>
      <x:c r="G101" s="4" t="str">
        <x:v>B</x:v>
      </x:c>
      <x:c r="H101" s="22" t="str">
        <x:v>https://data.richmondgov.com/d/xqn7-jvv2</x:v>
      </x:c>
      <x:c r="I101" s="22" t="str">
        <x:v>https://data.richmondgov.com/api/views/xqn7-jvv2/rows.csv?accessType=DOWNLOAD</x:v>
      </x:c>
      <x:c r="J101" s="22" t="str">
        <x:v>https://data.richmondgov.com/resource/xqn7-jvv2.json</x:v>
      </x:c>
      <x:c r="K101" s="4" t="str">
        <x:v>Socrata bulk export / API</x:v>
      </x:c>
      <x:c r="L101" s="4" t="str">
        <x:v>Check publisher for coverage and update schedule</x:v>
      </x:c>
      <x:c r="M101" s="4" t="str">
        <x:v>Richmond</x:v>
      </x:c>
      <x:c r="N101" s="4" t="str"/>
      <x:c r="O101" s="4" t="str">
        <x:v>Socrata</x:v>
      </x:c>
      <x:c r="P101" s="4" t="str">
        <x:v>Additional regional hub</x:v>
      </x:c>
      <x:c r="Q101" s="4" t="str">
        <x:v>Standard Socrata endpoint constructed from identified dataset ID</x:v>
      </x:c>
      <x:c r="R101" s="4" t="str">
        <x:v>Identified dataset ID plus standard platform export/API format</x:v>
      </x:c>
      <x:c r="S101" s="4" t="str">
        <x:v>Publisher dataset page</x:v>
      </x:c>
      <x:c r="T101" s="4" t="str">
        <x:v>Public dataset; legacy and SODA3 access rules differ. SODA3 API queries require an app token or user authentication. Confirm export access on the dataset page.</x:v>
      </x:c>
      <x:c r="U101" s="4" t="str">
        <x:v>Review the individual publisher's license and attribution terms before reuse.</x:v>
      </x:c>
      <x:c r="V101" s="22" t="str">
        <x:v>https://data.richmondgov.com/d/xqn7-jvv2</x:v>
      </x:c>
      <x:c r="W101" s="4" t="str">
        <x:v>2026-10-07</x:v>
      </x:c>
      <x:c r="X101" s="4" t="str">
        <x:v>No</x:v>
      </x:c>
    </x:row>
    <x:row r="102" ht="80" customHeight="1">
      <x:c r="A102" s="4" t="str">
        <x:v>US0098</x:v>
      </x:c>
      <x:c r="B102" s="4" t="str">
        <x:v>Richmond</x:v>
      </x:c>
      <x:c r="C102" s="4" t="str">
        <x:v>VA</x:v>
      </x:c>
      <x:c r="D102" s="4" t="str">
        <x:v>Police Stations</x:v>
      </x:c>
      <x:c r="E102" s="4" t="str">
        <x:v>Public safety / facilities</x:v>
      </x:c>
      <x:c r="F102" s="4" t="str">
        <x:v>CSV; JSON</x:v>
      </x:c>
      <x:c r="G102" s="4" t="str">
        <x:v>B</x:v>
      </x:c>
      <x:c r="H102" s="22" t="str">
        <x:v>https://data.richmondgov.com/d/85mv-7xwi</x:v>
      </x:c>
      <x:c r="I102" s="22" t="str">
        <x:v>https://data.richmondgov.com/api/views/85mv-7xwi/rows.csv?accessType=DOWNLOAD</x:v>
      </x:c>
      <x:c r="J102" s="22" t="str">
        <x:v>https://data.richmondgov.com/resource/85mv-7xwi.json</x:v>
      </x:c>
      <x:c r="K102" s="4" t="str">
        <x:v>Socrata bulk export / API</x:v>
      </x:c>
      <x:c r="L102" s="4" t="str">
        <x:v>Check publisher for coverage and update schedule</x:v>
      </x:c>
      <x:c r="M102" s="4" t="str">
        <x:v>Richmond</x:v>
      </x:c>
      <x:c r="N102" s="4" t="str"/>
      <x:c r="O102" s="4" t="str">
        <x:v>Socrata</x:v>
      </x:c>
      <x:c r="P102" s="4" t="str">
        <x:v>Additional regional hub</x:v>
      </x:c>
      <x:c r="Q102" s="4" t="str">
        <x:v>Standard Socrata endpoint constructed from identified dataset ID</x:v>
      </x:c>
      <x:c r="R102" s="4" t="str">
        <x:v>Identified dataset ID plus standard platform export/API format</x:v>
      </x:c>
      <x:c r="S102" s="4" t="str">
        <x:v>Publisher dataset page</x:v>
      </x:c>
      <x:c r="T102" s="4" t="str">
        <x:v>Public dataset; legacy and SODA3 access rules differ. SODA3 API queries require an app token or user authentication. Confirm export access on the dataset page.</x:v>
      </x:c>
      <x:c r="U102" s="4" t="str">
        <x:v>Review the individual publisher's license and attribution terms before reuse.</x:v>
      </x:c>
      <x:c r="V102" s="22" t="str">
        <x:v>https://dev.socrata.com/foundry/data.richmondgov.com/85mv-7xwi/embed</x:v>
      </x:c>
      <x:c r="W102" s="4" t="str">
        <x:v>2026-10-07</x:v>
      </x:c>
      <x:c r="X102" s="4" t="str">
        <x:v>No</x:v>
      </x:c>
    </x:row>
  </x:sheetData>
  <x:mergeCells>
    <x:mergeCell ref="A1:X1"/>
    <x:mergeCell ref="A2:X2"/>
  </x:mergeCells>
  <x:conditionalFormatting sqref="G5:G102">
    <x:cfRule type="expression" dxfId="0" priority="1">
      <x:formula>$G5="A"</x:formula>
    </x:cfRule>
    <x:cfRule type="expression" dxfId="1" priority="2">
      <x:formula>$G5="B"</x:formula>
    </x:cfRule>
    <x:cfRule type="expression" dxfId="2" priority="3">
      <x:formula>$G5="C"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1d116b19284c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6" hidden="0" customWidth="1"/>
    <x:col min="4" max="4" width="13" hidden="0" customWidth="1"/>
    <x:col min="5" max="5" width="15" hidden="0" customWidth="1"/>
    <x:col min="6" max="6" width="16" hidden="0" customWidth="1"/>
    <x:col min="7" max="7" width="14" hidden="0" customWidth="1"/>
    <x:col min="8" max="8" width="26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14" hidden="0" customWidth="1"/>
  </x:cols>
  <x:sheetData>
    <x:row r="1" ht="28" customHeight="1">
      <x:c r="A1" s="9" t="str">
        <x:v>Cities and portal coverage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4" customHeight="1">
      <x:c r="A2" s="13" t="str">
        <x:v>50 core cities using 2025 population estimates, plus 10 selected regional hubs. Every city has at least one named dataset.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2" customHeight="1">
      <x:c r="A4" s="18" t="str">
        <x:v>City</x:v>
      </x:c>
      <x:c r="B4" s="18" t="str">
        <x:v>State</x:v>
      </x:c>
      <x:c r="C4" s="18" t="str">
        <x:v>Scope</x:v>
      </x:c>
      <x:c r="D4" s="18" t="str">
        <x:v>Dataset Count</x:v>
      </x:c>
      <x:c r="E4" s="18" t="str">
        <x:v>Published Url Count</x:v>
      </x:c>
      <x:c r="F4" s="18" t="str">
        <x:v>Constructed Url Count</x:v>
      </x:c>
      <x:c r="G4" s="18" t="str">
        <x:v>Export Page Count</x:v>
      </x:c>
      <x:c r="H4" s="18" t="str">
        <x:v>Platform</x:v>
      </x:c>
      <x:c r="I4" s="18" t="str">
        <x:v>Portal Url</x:v>
      </x:c>
      <x:c r="J4" s="18" t="str">
        <x:v>Notes</x:v>
      </x:c>
      <x:c r="K4" s="18" t="str">
        <x:v>Source Url</x:v>
      </x:c>
      <x:c r="L4" s="18" t="str">
        <x:v>Scope Source Url</x:v>
      </x:c>
      <x:c r="M4" s="18" t="str">
        <x:v>Checked Date</x:v>
      </x:c>
    </x:row>
    <x:row r="5" ht="64" customHeight="1">
      <x:c r="A5" s="4" t="str">
        <x:v>New York</x:v>
      </x:c>
      <x:c r="B5" s="4" t="str">
        <x:v>NY</x:v>
      </x:c>
      <x:c r="C5" s="4" t="str">
        <x:v>Top 50 city proper</x:v>
      </x:c>
      <x:c r="D5" s="4" t="n">
        <x:f>COUNTIF(Datasets!$B$5:$B$102,A5)</x:f>
        <x:v>3</x:v>
      </x:c>
      <x:c r="E5" s="4" t="n">
        <x:f>COUNTIFS(Datasets!$B$5:$B$102,A5,Datasets!$G$5:$G$102,"A")</x:f>
        <x:v>0</x:v>
      </x:c>
      <x:c r="F5" s="4" t="n">
        <x:f>COUNTIFS(Datasets!$B$5:$B$102,A5,Datasets!$G$5:$G$102,"B")</x:f>
        <x:v>3</x:v>
      </x:c>
      <x:c r="G5" s="4" t="n">
        <x:f>COUNTIFS(Datasets!$B$5:$B$102,A5,Datasets!$G$5:$G$102,"C")</x:f>
        <x:v>0</x:v>
      </x:c>
      <x:c r="H5" s="4" t="str">
        <x:v>Socrata</x:v>
      </x:c>
      <x:c r="I5" s="22" t="str">
        <x:v>https://data.cityofnewyork.us/</x:v>
      </x:c>
      <x:c r="J5" s="4" t="str"/>
      <x:c r="K5" s="22" t="str">
        <x:v>https://data.cityofnewyork.us/</x:v>
      </x:c>
      <x:c r="L5" s="22" t="str">
        <x:v>https://en.wikipedia.org/wiki/List_of_United_States_cities_by_population</x:v>
      </x:c>
      <x:c r="M5" s="4" t="str">
        <x:v>2026-10-07</x:v>
      </x:c>
    </x:row>
    <x:row r="6" ht="64" customHeight="1">
      <x:c r="A6" s="4" t="str">
        <x:v>Los Angeles</x:v>
      </x:c>
      <x:c r="B6" s="4" t="str">
        <x:v>CA</x:v>
      </x:c>
      <x:c r="C6" s="4" t="str">
        <x:v>Top 50 city proper</x:v>
      </x:c>
      <x:c r="D6" s="4" t="n">
        <x:f>COUNTIF(Datasets!$B$5:$B$102,A6)</x:f>
        <x:v>3</x:v>
      </x:c>
      <x:c r="E6" s="4" t="n">
        <x:f>COUNTIFS(Datasets!$B$5:$B$102,A6,Datasets!$G$5:$G$102,"A")</x:f>
        <x:v>2</x:v>
      </x:c>
      <x:c r="F6" s="4" t="n">
        <x:f>COUNTIFS(Datasets!$B$5:$B$102,A6,Datasets!$G$5:$G$102,"B")</x:f>
        <x:v>1</x:v>
      </x:c>
      <x:c r="G6" s="4" t="n">
        <x:f>COUNTIFS(Datasets!$B$5:$B$102,A6,Datasets!$G$5:$G$102,"C")</x:f>
        <x:v>0</x:v>
      </x:c>
      <x:c r="H6" s="4" t="str">
        <x:v>Socrata</x:v>
      </x:c>
      <x:c r="I6" s="22" t="str">
        <x:v>https://data.lacity.org/</x:v>
      </x:c>
      <x:c r="J6" s="4" t="str"/>
      <x:c r="K6" s="22" t="str">
        <x:v>https://data.lacity.org/</x:v>
      </x:c>
      <x:c r="L6" s="22" t="str">
        <x:v>https://en.wikipedia.org/wiki/List_of_United_States_cities_by_population</x:v>
      </x:c>
      <x:c r="M6" s="4" t="str">
        <x:v>2026-10-07</x:v>
      </x:c>
    </x:row>
    <x:row r="7" ht="64" customHeight="1">
      <x:c r="A7" s="4" t="str">
        <x:v>Chicago</x:v>
      </x:c>
      <x:c r="B7" s="4" t="str">
        <x:v>IL</x:v>
      </x:c>
      <x:c r="C7" s="4" t="str">
        <x:v>Top 50 city proper</x:v>
      </x:c>
      <x:c r="D7" s="4" t="n">
        <x:f>COUNTIF(Datasets!$B$5:$B$102,A7)</x:f>
        <x:v>4</x:v>
      </x:c>
      <x:c r="E7" s="4" t="n">
        <x:f>COUNTIFS(Datasets!$B$5:$B$102,A7,Datasets!$G$5:$G$102,"A")</x:f>
        <x:v>1</x:v>
      </x:c>
      <x:c r="F7" s="4" t="n">
        <x:f>COUNTIFS(Datasets!$B$5:$B$102,A7,Datasets!$G$5:$G$102,"B")</x:f>
        <x:v>3</x:v>
      </x:c>
      <x:c r="G7" s="4" t="n">
        <x:f>COUNTIFS(Datasets!$B$5:$B$102,A7,Datasets!$G$5:$G$102,"C")</x:f>
        <x:v>0</x:v>
      </x:c>
      <x:c r="H7" s="4" t="str">
        <x:v>Socrata</x:v>
      </x:c>
      <x:c r="I7" s="22" t="str">
        <x:v>https://data.cityofchicago.org/</x:v>
      </x:c>
      <x:c r="J7" s="4" t="str"/>
      <x:c r="K7" s="22" t="str">
        <x:v>https://data.cityofchicago.org/</x:v>
      </x:c>
      <x:c r="L7" s="22" t="str">
        <x:v>https://en.wikipedia.org/wiki/List_of_United_States_cities_by_population</x:v>
      </x:c>
      <x:c r="M7" s="4" t="str">
        <x:v>2026-10-07</x:v>
      </x:c>
    </x:row>
    <x:row r="8" ht="64" customHeight="1">
      <x:c r="A8" s="4" t="str">
        <x:v>Houston</x:v>
      </x:c>
      <x:c r="B8" s="4" t="str">
        <x:v>TX</x:v>
      </x:c>
      <x:c r="C8" s="4" t="str">
        <x:v>Top 50 city proper</x:v>
      </x:c>
      <x:c r="D8" s="4" t="n">
        <x:f>COUNTIF(Datasets!$B$5:$B$102,A8)</x:f>
        <x:v>1</x:v>
      </x:c>
      <x:c r="E8" s="4" t="n">
        <x:f>COUNTIFS(Datasets!$B$5:$B$102,A8,Datasets!$G$5:$G$102,"A")</x:f>
        <x:v>0</x:v>
      </x:c>
      <x:c r="F8" s="4" t="n">
        <x:f>COUNTIFS(Datasets!$B$5:$B$102,A8,Datasets!$G$5:$G$102,"B")</x:f>
        <x:v>0</x:v>
      </x:c>
      <x:c r="G8" s="4" t="n">
        <x:f>COUNTIFS(Datasets!$B$5:$B$102,A8,Datasets!$G$5:$G$102,"C")</x:f>
        <x:v>1</x:v>
      </x:c>
      <x:c r="H8" s="4" t="str">
        <x:v>ArcGIS Hub</x:v>
      </x:c>
      <x:c r="I8" s="22" t="str">
        <x:v>https://cohgis-mycity.opendata.arcgis.com/</x:v>
      </x:c>
      <x:c r="J8" s="4" t="str">
        <x:v>City GIS hub selected because the legacy CKAN portal returned access errors during research.</x:v>
      </x:c>
      <x:c r="K8" s="22" t="str">
        <x:v>https://cohgis-mycity.opendata.arcgis.com/</x:v>
      </x:c>
      <x:c r="L8" s="22" t="str">
        <x:v>https://en.wikipedia.org/wiki/List_of_United_States_cities_by_population</x:v>
      </x:c>
      <x:c r="M8" s="4" t="str">
        <x:v>2026-10-07</x:v>
      </x:c>
    </x:row>
    <x:row r="9" ht="64" customHeight="1">
      <x:c r="A9" s="4" t="str">
        <x:v>Phoenix</x:v>
      </x:c>
      <x:c r="B9" s="4" t="str">
        <x:v>AZ</x:v>
      </x:c>
      <x:c r="C9" s="4" t="str">
        <x:v>Top 50 city proper</x:v>
      </x:c>
      <x:c r="D9" s="4" t="n">
        <x:f>COUNTIF(Datasets!$B$5:$B$102,A9)</x:f>
        <x:v>2</x:v>
      </x:c>
      <x:c r="E9" s="4" t="n">
        <x:f>COUNTIFS(Datasets!$B$5:$B$102,A9,Datasets!$G$5:$G$102,"A")</x:f>
        <x:v>0</x:v>
      </x:c>
      <x:c r="F9" s="4" t="n">
        <x:f>COUNTIFS(Datasets!$B$5:$B$102,A9,Datasets!$G$5:$G$102,"B")</x:f>
        <x:v>0</x:v>
      </x:c>
      <x:c r="G9" s="4" t="n">
        <x:f>COUNTIFS(Datasets!$B$5:$B$102,A9,Datasets!$G$5:$G$102,"C")</x:f>
        <x:v>2</x:v>
      </x:c>
      <x:c r="H9" s="4" t="str">
        <x:v>CKAN</x:v>
      </x:c>
      <x:c r="I9" s="22" t="str">
        <x:v>https://www.phoenixopendata.com/</x:v>
      </x:c>
      <x:c r="J9" s="4" t="str"/>
      <x:c r="K9" s="22" t="str">
        <x:v>https://www.phoenixopendata.com/</x:v>
      </x:c>
      <x:c r="L9" s="22" t="str">
        <x:v>https://en.wikipedia.org/wiki/List_of_United_States_cities_by_population</x:v>
      </x:c>
      <x:c r="M9" s="4" t="str">
        <x:v>2026-10-07</x:v>
      </x:c>
    </x:row>
    <x:row r="10" ht="64" customHeight="1">
      <x:c r="A10" s="4" t="str">
        <x:v>Philadelphia</x:v>
      </x:c>
      <x:c r="B10" s="4" t="str">
        <x:v>PA</x:v>
      </x:c>
      <x:c r="C10" s="4" t="str">
        <x:v>Top 50 city proper</x:v>
      </x:c>
      <x:c r="D10" s="4" t="n">
        <x:f>COUNTIF(Datasets!$B$5:$B$102,A10)</x:f>
        <x:v>1</x:v>
      </x:c>
      <x:c r="E10" s="4" t="n">
        <x:f>COUNTIFS(Datasets!$B$5:$B$102,A10,Datasets!$G$5:$G$102,"A")</x:f>
        <x:v>0</x:v>
      </x:c>
      <x:c r="F10" s="4" t="n">
        <x:f>COUNTIFS(Datasets!$B$5:$B$102,A10,Datasets!$G$5:$G$102,"B")</x:f>
        <x:v>0</x:v>
      </x:c>
      <x:c r="G10" s="4" t="n">
        <x:f>COUNTIFS(Datasets!$B$5:$B$102,A10,Datasets!$G$5:$G$102,"C")</x:f>
        <x:v>1</x:v>
      </x:c>
      <x:c r="H10" s="4" t="str">
        <x:v>OpenDataPhilly / CARTO</x:v>
      </x:c>
      <x:c r="I10" s="22" t="str">
        <x:v>https://opendataphilly.org/</x:v>
      </x:c>
      <x:c r="J10" s="4" t="str"/>
      <x:c r="K10" s="22" t="str">
        <x:v>https://opendataphilly.org/</x:v>
      </x:c>
      <x:c r="L10" s="22" t="str">
        <x:v>https://en.wikipedia.org/wiki/List_of_United_States_cities_by_population</x:v>
      </x:c>
      <x:c r="M10" s="4" t="str">
        <x:v>2026-10-07</x:v>
      </x:c>
    </x:row>
    <x:row r="11" ht="64" customHeight="1">
      <x:c r="A11" s="4" t="str">
        <x:v>San Antonio</x:v>
      </x:c>
      <x:c r="B11" s="4" t="str">
        <x:v>TX</x:v>
      </x:c>
      <x:c r="C11" s="4" t="str">
        <x:v>Top 50 city proper</x:v>
      </x:c>
      <x:c r="D11" s="4" t="n">
        <x:f>COUNTIF(Datasets!$B$5:$B$102,A11)</x:f>
        <x:v>2</x:v>
      </x:c>
      <x:c r="E11" s="4" t="n">
        <x:f>COUNTIFS(Datasets!$B$5:$B$102,A11,Datasets!$G$5:$G$102,"A")</x:f>
        <x:v>0</x:v>
      </x:c>
      <x:c r="F11" s="4" t="n">
        <x:f>COUNTIFS(Datasets!$B$5:$B$102,A11,Datasets!$G$5:$G$102,"B")</x:f>
        <x:v>0</x:v>
      </x:c>
      <x:c r="G11" s="4" t="n">
        <x:f>COUNTIFS(Datasets!$B$5:$B$102,A11,Datasets!$G$5:$G$102,"C")</x:f>
        <x:v>2</x:v>
      </x:c>
      <x:c r="H11" s="4" t="str">
        <x:v>CKAN</x:v>
      </x:c>
      <x:c r="I11" s="22" t="str">
        <x:v>https://data.sanantonio.gov/</x:v>
      </x:c>
      <x:c r="J11" s="4" t="str"/>
      <x:c r="K11" s="22" t="str">
        <x:v>https://data.sanantonio.gov/</x:v>
      </x:c>
      <x:c r="L11" s="22" t="str">
        <x:v>https://en.wikipedia.org/wiki/List_of_United_States_cities_by_population</x:v>
      </x:c>
      <x:c r="M11" s="4" t="str">
        <x:v>2026-10-07</x:v>
      </x:c>
    </x:row>
    <x:row r="12" ht="64" customHeight="1">
      <x:c r="A12" s="4" t="str">
        <x:v>San Diego</x:v>
      </x:c>
      <x:c r="B12" s="4" t="str">
        <x:v>CA</x:v>
      </x:c>
      <x:c r="C12" s="4" t="str">
        <x:v>Top 50 city proper</x:v>
      </x:c>
      <x:c r="D12" s="4" t="n">
        <x:f>COUNTIF(Datasets!$B$5:$B$102,A12)</x:f>
        <x:v>2</x:v>
      </x:c>
      <x:c r="E12" s="4" t="n">
        <x:f>COUNTIFS(Datasets!$B$5:$B$102,A12,Datasets!$G$5:$G$102,"A")</x:f>
        <x:v>0</x:v>
      </x:c>
      <x:c r="F12" s="4" t="n">
        <x:f>COUNTIFS(Datasets!$B$5:$B$102,A12,Datasets!$G$5:$G$102,"B")</x:f>
        <x:v>0</x:v>
      </x:c>
      <x:c r="G12" s="4" t="n">
        <x:f>COUNTIFS(Datasets!$B$5:$B$102,A12,Datasets!$G$5:$G$102,"C")</x:f>
        <x:v>2</x:v>
      </x:c>
      <x:c r="H12" s="4" t="str">
        <x:v>Direct files</x:v>
      </x:c>
      <x:c r="I12" s="22" t="str">
        <x:v>https://data.sandiego.gov/</x:v>
      </x:c>
      <x:c r="J12" s="4" t="str"/>
      <x:c r="K12" s="22" t="str">
        <x:v>https://data.sandiego.gov/</x:v>
      </x:c>
      <x:c r="L12" s="22" t="str">
        <x:v>https://en.wikipedia.org/wiki/List_of_United_States_cities_by_population</x:v>
      </x:c>
      <x:c r="M12" s="4" t="str">
        <x:v>2026-10-07</x:v>
      </x:c>
    </x:row>
    <x:row r="13" ht="64" customHeight="1">
      <x:c r="A13" s="4" t="str">
        <x:v>Dallas</x:v>
      </x:c>
      <x:c r="B13" s="4" t="str">
        <x:v>TX</x:v>
      </x:c>
      <x:c r="C13" s="4" t="str">
        <x:v>Top 50 city proper</x:v>
      </x:c>
      <x:c r="D13" s="4" t="n">
        <x:f>COUNTIF(Datasets!$B$5:$B$102,A13)</x:f>
        <x:v>2</x:v>
      </x:c>
      <x:c r="E13" s="4" t="n">
        <x:f>COUNTIFS(Datasets!$B$5:$B$102,A13,Datasets!$G$5:$G$102,"A")</x:f>
        <x:v>0</x:v>
      </x:c>
      <x:c r="F13" s="4" t="n">
        <x:f>COUNTIFS(Datasets!$B$5:$B$102,A13,Datasets!$G$5:$G$102,"B")</x:f>
        <x:v>2</x:v>
      </x:c>
      <x:c r="G13" s="4" t="n">
        <x:f>COUNTIFS(Datasets!$B$5:$B$102,A13,Datasets!$G$5:$G$102,"C")</x:f>
        <x:v>0</x:v>
      </x:c>
      <x:c r="H13" s="4" t="str">
        <x:v>Socrata</x:v>
      </x:c>
      <x:c r="I13" s="22" t="str">
        <x:v>https://www.dallasopendata.com/</x:v>
      </x:c>
      <x:c r="J13" s="4" t="str"/>
      <x:c r="K13" s="22" t="str">
        <x:v>https://www.dallasopendata.com/</x:v>
      </x:c>
      <x:c r="L13" s="22" t="str">
        <x:v>https://en.wikipedia.org/wiki/List_of_United_States_cities_by_population</x:v>
      </x:c>
      <x:c r="M13" s="4" t="str">
        <x:v>2026-10-07</x:v>
      </x:c>
    </x:row>
    <x:row r="14" ht="64" customHeight="1">
      <x:c r="A14" s="4" t="str">
        <x:v>Fort Worth</x:v>
      </x:c>
      <x:c r="B14" s="4" t="str">
        <x:v>TX</x:v>
      </x:c>
      <x:c r="C14" s="4" t="str">
        <x:v>Top 50 city proper</x:v>
      </x:c>
      <x:c r="D14" s="4" t="n">
        <x:f>COUNTIF(Datasets!$B$5:$B$102,A14)</x:f>
        <x:v>2</x:v>
      </x:c>
      <x:c r="E14" s="4" t="n">
        <x:f>COUNTIFS(Datasets!$B$5:$B$102,A14,Datasets!$G$5:$G$102,"A")</x:f>
        <x:v>0</x:v>
      </x:c>
      <x:c r="F14" s="4" t="n">
        <x:f>COUNTIFS(Datasets!$B$5:$B$102,A14,Datasets!$G$5:$G$102,"B")</x:f>
        <x:v>0</x:v>
      </x:c>
      <x:c r="G14" s="4" t="n">
        <x:f>COUNTIFS(Datasets!$B$5:$B$102,A14,Datasets!$G$5:$G$102,"C")</x:f>
        <x:v>2</x:v>
      </x:c>
      <x:c r="H14" s="4" t="str">
        <x:v>ArcGIS Hub</x:v>
      </x:c>
      <x:c r="I14" s="22" t="str">
        <x:v>https://data.fortworthtexas.gov/</x:v>
      </x:c>
      <x:c r="J14" s="4" t="str"/>
      <x:c r="K14" s="22" t="str">
        <x:v>https://data.fortworthtexas.gov/</x:v>
      </x:c>
      <x:c r="L14" s="22" t="str">
        <x:v>https://en.wikipedia.org/wiki/List_of_United_States_cities_by_population</x:v>
      </x:c>
      <x:c r="M14" s="4" t="str">
        <x:v>2026-10-07</x:v>
      </x:c>
    </x:row>
    <x:row r="15" ht="66" customHeight="1">
      <x:c r="A15" s="4" t="str">
        <x:v>Jacksonville</x:v>
      </x:c>
      <x:c r="B15" s="4" t="str">
        <x:v>FL</x:v>
      </x:c>
      <x:c r="C15" s="4" t="str">
        <x:v>Top 50 city proper</x:v>
      </x:c>
      <x:c r="D15" s="4" t="n">
        <x:f>COUNTIF(Datasets!$B$5:$B$102,A15)</x:f>
        <x:v>1</x:v>
      </x:c>
      <x:c r="E15" s="4" t="n">
        <x:f>COUNTIFS(Datasets!$B$5:$B$102,A15,Datasets!$G$5:$G$102,"A")</x:f>
        <x:v>1</x:v>
      </x:c>
      <x:c r="F15" s="4" t="n">
        <x:f>COUNTIFS(Datasets!$B$5:$B$102,A15,Datasets!$G$5:$G$102,"B")</x:f>
        <x:v>0</x:v>
      </x:c>
      <x:c r="G15" s="4" t="n">
        <x:f>COUNTIFS(Datasets!$B$5:$B$102,A15,Datasets!$G$5:$G$102,"C")</x:f>
        <x:v>0</x:v>
      </x:c>
      <x:c r="H15" s="4" t="str">
        <x:v>Direct GTFS files</x:v>
      </x:c>
      <x:c r="I15" s="22" t="str">
        <x:v>https://www.jtafla.com/gtfs-archive/</x:v>
      </x:c>
      <x:c r="J15" s="4" t="str">
        <x:v>JTA transit data covers its service area, not only the city boundary. Archive includes multiple feed versions.</x:v>
      </x:c>
      <x:c r="K15" s="22" t="str">
        <x:v>https://www.jtafla.com/gtfs-archive/</x:v>
      </x:c>
      <x:c r="L15" s="22" t="str">
        <x:v>https://en.wikipedia.org/wiki/List_of_United_States_cities_by_population</x:v>
      </x:c>
      <x:c r="M15" s="4" t="str">
        <x:v>2026-10-07</x:v>
      </x:c>
    </x:row>
    <x:row r="16" ht="64" customHeight="1">
      <x:c r="A16" s="4" t="str">
        <x:v>Austin</x:v>
      </x:c>
      <x:c r="B16" s="4" t="str">
        <x:v>TX</x:v>
      </x:c>
      <x:c r="C16" s="4" t="str">
        <x:v>Top 50 city proper</x:v>
      </x:c>
      <x:c r="D16" s="4" t="n">
        <x:f>COUNTIF(Datasets!$B$5:$B$102,A16)</x:f>
        <x:v>1</x:v>
      </x:c>
      <x:c r="E16" s="4" t="n">
        <x:f>COUNTIFS(Datasets!$B$5:$B$102,A16,Datasets!$G$5:$G$102,"A")</x:f>
        <x:v>0</x:v>
      </x:c>
      <x:c r="F16" s="4" t="n">
        <x:f>COUNTIFS(Datasets!$B$5:$B$102,A16,Datasets!$G$5:$G$102,"B")</x:f>
        <x:v>1</x:v>
      </x:c>
      <x:c r="G16" s="4" t="n">
        <x:f>COUNTIFS(Datasets!$B$5:$B$102,A16,Datasets!$G$5:$G$102,"C")</x:f>
        <x:v>0</x:v>
      </x:c>
      <x:c r="H16" s="4" t="str">
        <x:v>Socrata</x:v>
      </x:c>
      <x:c r="I16" s="22" t="str">
        <x:v>https://data.austintexas.gov/</x:v>
      </x:c>
      <x:c r="J16" s="4" t="str"/>
      <x:c r="K16" s="22" t="str">
        <x:v>https://data.austintexas.gov/</x:v>
      </x:c>
      <x:c r="L16" s="22" t="str">
        <x:v>https://en.wikipedia.org/wiki/List_of_United_States_cities_by_population</x:v>
      </x:c>
      <x:c r="M16" s="4" t="str">
        <x:v>2026-10-07</x:v>
      </x:c>
    </x:row>
    <x:row r="17" ht="64" customHeight="1">
      <x:c r="A17" s="4" t="str">
        <x:v>San Jose</x:v>
      </x:c>
      <x:c r="B17" s="4" t="str">
        <x:v>CA</x:v>
      </x:c>
      <x:c r="C17" s="4" t="str">
        <x:v>Top 50 city proper</x:v>
      </x:c>
      <x:c r="D17" s="4" t="n">
        <x:f>COUNTIF(Datasets!$B$5:$B$102,A17)</x:f>
        <x:v>2</x:v>
      </x:c>
      <x:c r="E17" s="4" t="n">
        <x:f>COUNTIFS(Datasets!$B$5:$B$102,A17,Datasets!$G$5:$G$102,"A")</x:f>
        <x:v>0</x:v>
      </x:c>
      <x:c r="F17" s="4" t="n">
        <x:f>COUNTIFS(Datasets!$B$5:$B$102,A17,Datasets!$G$5:$G$102,"B")</x:f>
        <x:v>0</x:v>
      </x:c>
      <x:c r="G17" s="4" t="n">
        <x:f>COUNTIFS(Datasets!$B$5:$B$102,A17,Datasets!$G$5:$G$102,"C")</x:f>
        <x:v>2</x:v>
      </x:c>
      <x:c r="H17" s="4" t="str">
        <x:v>CKAN</x:v>
      </x:c>
      <x:c r="I17" s="22" t="str">
        <x:v>https://data.sanjoseca.gov/</x:v>
      </x:c>
      <x:c r="J17" s="4" t="str"/>
      <x:c r="K17" s="22" t="str">
        <x:v>https://data.sanjoseca.gov/</x:v>
      </x:c>
      <x:c r="L17" s="22" t="str">
        <x:v>https://en.wikipedia.org/wiki/List_of_United_States_cities_by_population</x:v>
      </x:c>
      <x:c r="M17" s="4" t="str">
        <x:v>2026-10-07</x:v>
      </x:c>
    </x:row>
    <x:row r="18" ht="64" customHeight="1">
      <x:c r="A18" s="4" t="str">
        <x:v>Charlotte</x:v>
      </x:c>
      <x:c r="B18" s="4" t="str">
        <x:v>NC</x:v>
      </x:c>
      <x:c r="C18" s="4" t="str">
        <x:v>Top 50 city proper</x:v>
      </x:c>
      <x:c r="D18" s="4" t="n">
        <x:f>COUNTIF(Datasets!$B$5:$B$102,A18)</x:f>
        <x:v>2</x:v>
      </x:c>
      <x:c r="E18" s="4" t="n">
        <x:f>COUNTIFS(Datasets!$B$5:$B$102,A18,Datasets!$G$5:$G$102,"A")</x:f>
        <x:v>1</x:v>
      </x:c>
      <x:c r="F18" s="4" t="n">
        <x:f>COUNTIFS(Datasets!$B$5:$B$102,A18,Datasets!$G$5:$G$102,"B")</x:f>
        <x:v>0</x:v>
      </x:c>
      <x:c r="G18" s="4" t="n">
        <x:f>COUNTIFS(Datasets!$B$5:$B$102,A18,Datasets!$G$5:$G$102,"C")</x:f>
        <x:v>1</x:v>
      </x:c>
      <x:c r="H18" s="4" t="str">
        <x:v>ArcGIS Hub</x:v>
      </x:c>
      <x:c r="I18" s="22" t="str">
        <x:v>https://data.charlottenc.gov/</x:v>
      </x:c>
      <x:c r="J18" s="4" t="str"/>
      <x:c r="K18" s="22" t="str">
        <x:v>https://data.charlottenc.gov/</x:v>
      </x:c>
      <x:c r="L18" s="22" t="str">
        <x:v>https://en.wikipedia.org/wiki/List_of_United_States_cities_by_population</x:v>
      </x:c>
      <x:c r="M18" s="4" t="str">
        <x:v>2026-10-07</x:v>
      </x:c>
    </x:row>
    <x:row r="19" ht="64" customHeight="1">
      <x:c r="A19" s="4" t="str">
        <x:v>Columbus</x:v>
      </x:c>
      <x:c r="B19" s="4" t="str">
        <x:v>OH</x:v>
      </x:c>
      <x:c r="C19" s="4" t="str">
        <x:v>Top 50 city proper</x:v>
      </x:c>
      <x:c r="D19" s="4" t="n">
        <x:f>COUNTIF(Datasets!$B$5:$B$102,A19)</x:f>
        <x:v>2</x:v>
      </x:c>
      <x:c r="E19" s="4" t="n">
        <x:f>COUNTIFS(Datasets!$B$5:$B$102,A19,Datasets!$G$5:$G$102,"A")</x:f>
        <x:v>0</x:v>
      </x:c>
      <x:c r="F19" s="4" t="n">
        <x:f>COUNTIFS(Datasets!$B$5:$B$102,A19,Datasets!$G$5:$G$102,"B")</x:f>
        <x:v>0</x:v>
      </x:c>
      <x:c r="G19" s="4" t="n">
        <x:f>COUNTIFS(Datasets!$B$5:$B$102,A19,Datasets!$G$5:$G$102,"C")</x:f>
        <x:v>2</x:v>
      </x:c>
      <x:c r="H19" s="4" t="str">
        <x:v>ArcGIS Hub</x:v>
      </x:c>
      <x:c r="I19" s="22" t="str">
        <x:v>https://opendata.columbus.gov/</x:v>
      </x:c>
      <x:c r="J19" s="4" t="str"/>
      <x:c r="K19" s="22" t="str">
        <x:v>https://opendata.columbus.gov/</x:v>
      </x:c>
      <x:c r="L19" s="22" t="str">
        <x:v>https://en.wikipedia.org/wiki/List_of_United_States_cities_by_population</x:v>
      </x:c>
      <x:c r="M19" s="4" t="str">
        <x:v>2026-10-07</x:v>
      </x:c>
    </x:row>
    <x:row r="20" ht="64" customHeight="1">
      <x:c r="A20" s="4" t="str">
        <x:v>Indianapolis</x:v>
      </x:c>
      <x:c r="B20" s="4" t="str">
        <x:v>IN</x:v>
      </x:c>
      <x:c r="C20" s="4" t="str">
        <x:v>Top 50 city proper</x:v>
      </x:c>
      <x:c r="D20" s="4" t="n">
        <x:f>COUNTIF(Datasets!$B$5:$B$102,A20)</x:f>
        <x:v>2</x:v>
      </x:c>
      <x:c r="E20" s="4" t="n">
        <x:f>COUNTIFS(Datasets!$B$5:$B$102,A20,Datasets!$G$5:$G$102,"A")</x:f>
        <x:v>0</x:v>
      </x:c>
      <x:c r="F20" s="4" t="n">
        <x:f>COUNTIFS(Datasets!$B$5:$B$102,A20,Datasets!$G$5:$G$102,"B")</x:f>
        <x:v>0</x:v>
      </x:c>
      <x:c r="G20" s="4" t="n">
        <x:f>COUNTIFS(Datasets!$B$5:$B$102,A20,Datasets!$G$5:$G$102,"C")</x:f>
        <x:v>2</x:v>
      </x:c>
      <x:c r="H20" s="4" t="str">
        <x:v>ArcGIS Hub</x:v>
      </x:c>
      <x:c r="I20" s="22" t="str">
        <x:v>https://data.indy.gov/</x:v>
      </x:c>
      <x:c r="J20" s="4" t="str"/>
      <x:c r="K20" s="22" t="str">
        <x:v>https://data.indy.gov/</x:v>
      </x:c>
      <x:c r="L20" s="22" t="str">
        <x:v>https://en.wikipedia.org/wiki/List_of_United_States_cities_by_population</x:v>
      </x:c>
      <x:c r="M20" s="4" t="str">
        <x:v>2026-10-07</x:v>
      </x:c>
    </x:row>
    <x:row r="21" ht="64" customHeight="1">
      <x:c r="A21" s="4" t="str">
        <x:v>San Francisco</x:v>
      </x:c>
      <x:c r="B21" s="4" t="str">
        <x:v>CA</x:v>
      </x:c>
      <x:c r="C21" s="4" t="str">
        <x:v>Top 50 city proper</x:v>
      </x:c>
      <x:c r="D21" s="4" t="n">
        <x:f>COUNTIF(Datasets!$B$5:$B$102,A21)</x:f>
        <x:v>3</x:v>
      </x:c>
      <x:c r="E21" s="4" t="n">
        <x:f>COUNTIFS(Datasets!$B$5:$B$102,A21,Datasets!$G$5:$G$102,"A")</x:f>
        <x:v>3</x:v>
      </x:c>
      <x:c r="F21" s="4" t="n">
        <x:f>COUNTIFS(Datasets!$B$5:$B$102,A21,Datasets!$G$5:$G$102,"B")</x:f>
        <x:v>0</x:v>
      </x:c>
      <x:c r="G21" s="4" t="n">
        <x:f>COUNTIFS(Datasets!$B$5:$B$102,A21,Datasets!$G$5:$G$102,"C")</x:f>
        <x:v>0</x:v>
      </x:c>
      <x:c r="H21" s="4" t="str">
        <x:v>Socrata</x:v>
      </x:c>
      <x:c r="I21" s="22" t="str">
        <x:v>https://data.sf.gov/</x:v>
      </x:c>
      <x:c r="J21" s="4" t="str"/>
      <x:c r="K21" s="22" t="str">
        <x:v>https://data.sf.gov/</x:v>
      </x:c>
      <x:c r="L21" s="22" t="str">
        <x:v>https://en.wikipedia.org/wiki/List_of_United_States_cities_by_population</x:v>
      </x:c>
      <x:c r="M21" s="4" t="str">
        <x:v>2026-10-07</x:v>
      </x:c>
    </x:row>
    <x:row r="22" ht="64" customHeight="1">
      <x:c r="A22" s="4" t="str">
        <x:v>Seattle</x:v>
      </x:c>
      <x:c r="B22" s="4" t="str">
        <x:v>WA</x:v>
      </x:c>
      <x:c r="C22" s="4" t="str">
        <x:v>Top 50 city proper</x:v>
      </x:c>
      <x:c r="D22" s="4" t="n">
        <x:f>COUNTIF(Datasets!$B$5:$B$102,A22)</x:f>
        <x:v>1</x:v>
      </x:c>
      <x:c r="E22" s="4" t="n">
        <x:f>COUNTIFS(Datasets!$B$5:$B$102,A22,Datasets!$G$5:$G$102,"A")</x:f>
        <x:v>0</x:v>
      </x:c>
      <x:c r="F22" s="4" t="n">
        <x:f>COUNTIFS(Datasets!$B$5:$B$102,A22,Datasets!$G$5:$G$102,"B")</x:f>
        <x:v>1</x:v>
      </x:c>
      <x:c r="G22" s="4" t="n">
        <x:f>COUNTIFS(Datasets!$B$5:$B$102,A22,Datasets!$G$5:$G$102,"C")</x:f>
        <x:v>0</x:v>
      </x:c>
      <x:c r="H22" s="4" t="str">
        <x:v>Socrata / ArcGIS</x:v>
      </x:c>
      <x:c r="I22" s="22" t="str">
        <x:v>https://data.seattle.gov/</x:v>
      </x:c>
      <x:c r="J22" s="4" t="str"/>
      <x:c r="K22" s="22" t="str">
        <x:v>https://data.seattle.gov/</x:v>
      </x:c>
      <x:c r="L22" s="22" t="str">
        <x:v>https://en.wikipedia.org/wiki/List_of_United_States_cities_by_population</x:v>
      </x:c>
      <x:c r="M22" s="4" t="str">
        <x:v>2026-10-07</x:v>
      </x:c>
    </x:row>
    <x:row r="23" ht="64" customHeight="1">
      <x:c r="A23" s="4" t="str">
        <x:v>Denver</x:v>
      </x:c>
      <x:c r="B23" s="4" t="str">
        <x:v>CO</x:v>
      </x:c>
      <x:c r="C23" s="4" t="str">
        <x:v>Top 50 city proper</x:v>
      </x:c>
      <x:c r="D23" s="4" t="n">
        <x:f>COUNTIF(Datasets!$B$5:$B$102,A23)</x:f>
        <x:v>2</x:v>
      </x:c>
      <x:c r="E23" s="4" t="n">
        <x:f>COUNTIFS(Datasets!$B$5:$B$102,A23,Datasets!$G$5:$G$102,"A")</x:f>
        <x:v>0</x:v>
      </x:c>
      <x:c r="F23" s="4" t="n">
        <x:f>COUNTIFS(Datasets!$B$5:$B$102,A23,Datasets!$G$5:$G$102,"B")</x:f>
        <x:v>0</x:v>
      </x:c>
      <x:c r="G23" s="4" t="n">
        <x:f>COUNTIFS(Datasets!$B$5:$B$102,A23,Datasets!$G$5:$G$102,"C")</x:f>
        <x:v>2</x:v>
      </x:c>
      <x:c r="H23" s="4" t="str">
        <x:v>ArcGIS Hub</x:v>
      </x:c>
      <x:c r="I23" s="22" t="str">
        <x:v>https://opendata-geospatialdenver.hub.arcgis.com/</x:v>
      </x:c>
      <x:c r="J23" s="4" t="str"/>
      <x:c r="K23" s="22" t="str">
        <x:v>https://opendata-geospatialdenver.hub.arcgis.com/</x:v>
      </x:c>
      <x:c r="L23" s="22" t="str">
        <x:v>https://en.wikipedia.org/wiki/List_of_United_States_cities_by_population</x:v>
      </x:c>
      <x:c r="M23" s="4" t="str">
        <x:v>2026-10-07</x:v>
      </x:c>
    </x:row>
    <x:row r="24" ht="64" customHeight="1">
      <x:c r="A24" s="4" t="str">
        <x:v>Nashville</x:v>
      </x:c>
      <x:c r="B24" s="4" t="str">
        <x:v>TN</x:v>
      </x:c>
      <x:c r="C24" s="4" t="str">
        <x:v>Top 50 city proper</x:v>
      </x:c>
      <x:c r="D24" s="4" t="n">
        <x:f>COUNTIF(Datasets!$B$5:$B$102,A24)</x:f>
        <x:v>2</x:v>
      </x:c>
      <x:c r="E24" s="4" t="n">
        <x:f>COUNTIFS(Datasets!$B$5:$B$102,A24,Datasets!$G$5:$G$102,"A")</x:f>
        <x:v>0</x:v>
      </x:c>
      <x:c r="F24" s="4" t="n">
        <x:f>COUNTIFS(Datasets!$B$5:$B$102,A24,Datasets!$G$5:$G$102,"B")</x:f>
        <x:v>0</x:v>
      </x:c>
      <x:c r="G24" s="4" t="n">
        <x:f>COUNTIFS(Datasets!$B$5:$B$102,A24,Datasets!$G$5:$G$102,"C")</x:f>
        <x:v>2</x:v>
      </x:c>
      <x:c r="H24" s="4" t="str">
        <x:v>ArcGIS Hub</x:v>
      </x:c>
      <x:c r="I24" s="22" t="str">
        <x:v>https://data.nashville.gov/</x:v>
      </x:c>
      <x:c r="J24" s="4" t="str">
        <x:v>Current publisher dataset pages use ArcGIS Hub. Coverage commonly includes Davidson County.</x:v>
      </x:c>
      <x:c r="K24" s="22" t="str">
        <x:v>https://data.nashville.gov/</x:v>
      </x:c>
      <x:c r="L24" s="22" t="str">
        <x:v>https://en.wikipedia.org/wiki/List_of_United_States_cities_by_population</x:v>
      </x:c>
      <x:c r="M24" s="4" t="str">
        <x:v>2026-10-07</x:v>
      </x:c>
    </x:row>
    <x:row r="25" ht="64" customHeight="1">
      <x:c r="A25" s="4" t="str">
        <x:v>Oklahoma City</x:v>
      </x:c>
      <x:c r="B25" s="4" t="str">
        <x:v>OK</x:v>
      </x:c>
      <x:c r="C25" s="4" t="str">
        <x:v>Top 50 city proper</x:v>
      </x:c>
      <x:c r="D25" s="4" t="n">
        <x:f>COUNTIF(Datasets!$B$5:$B$102,A25)</x:f>
        <x:v>1</x:v>
      </x:c>
      <x:c r="E25" s="4" t="n">
        <x:f>COUNTIFS(Datasets!$B$5:$B$102,A25,Datasets!$G$5:$G$102,"A")</x:f>
        <x:v>0</x:v>
      </x:c>
      <x:c r="F25" s="4" t="n">
        <x:f>COUNTIFS(Datasets!$B$5:$B$102,A25,Datasets!$G$5:$G$102,"B")</x:f>
        <x:v>0</x:v>
      </x:c>
      <x:c r="G25" s="4" t="n">
        <x:f>COUNTIFS(Datasets!$B$5:$B$102,A25,Datasets!$G$5:$G$102,"C")</x:f>
        <x:v>1</x:v>
      </x:c>
      <x:c r="H25" s="4" t="str">
        <x:v>ArcGIS Hub</x:v>
      </x:c>
      <x:c r="I25" s="22" t="str">
        <x:v>https://data.okc.gov/</x:v>
      </x:c>
      <x:c r="J25" s="4" t="str"/>
      <x:c r="K25" s="22" t="str">
        <x:v>https://data.okc.gov/</x:v>
      </x:c>
      <x:c r="L25" s="22" t="str">
        <x:v>https://en.wikipedia.org/wiki/List_of_United_States_cities_by_population</x:v>
      </x:c>
      <x:c r="M25" s="4" t="str">
        <x:v>2026-10-07</x:v>
      </x:c>
    </x:row>
    <x:row r="26" ht="64" customHeight="1">
      <x:c r="A26" s="4" t="str">
        <x:v>Washington</x:v>
      </x:c>
      <x:c r="B26" s="4" t="str">
        <x:v>DC</x:v>
      </x:c>
      <x:c r="C26" s="4" t="str">
        <x:v>Top 50 city proper</x:v>
      </x:c>
      <x:c r="D26" s="4" t="n">
        <x:f>COUNTIF(Datasets!$B$5:$B$102,A26)</x:f>
        <x:v>2</x:v>
      </x:c>
      <x:c r="E26" s="4" t="n">
        <x:f>COUNTIFS(Datasets!$B$5:$B$102,A26,Datasets!$G$5:$G$102,"A")</x:f>
        <x:v>0</x:v>
      </x:c>
      <x:c r="F26" s="4" t="n">
        <x:f>COUNTIFS(Datasets!$B$5:$B$102,A26,Datasets!$G$5:$G$102,"B")</x:f>
        <x:v>0</x:v>
      </x:c>
      <x:c r="G26" s="4" t="n">
        <x:f>COUNTIFS(Datasets!$B$5:$B$102,A26,Datasets!$G$5:$G$102,"C")</x:f>
        <x:v>2</x:v>
      </x:c>
      <x:c r="H26" s="4" t="str">
        <x:v>ArcGIS Hub</x:v>
      </x:c>
      <x:c r="I26" s="22" t="str">
        <x:v>https://opendata.dc.gov/</x:v>
      </x:c>
      <x:c r="J26" s="4" t="str"/>
      <x:c r="K26" s="22" t="str">
        <x:v>https://opendata.dc.gov/</x:v>
      </x:c>
      <x:c r="L26" s="22" t="str">
        <x:v>https://en.wikipedia.org/wiki/List_of_United_States_cities_by_population</x:v>
      </x:c>
      <x:c r="M26" s="4" t="str">
        <x:v>2026-10-07</x:v>
      </x:c>
    </x:row>
    <x:row r="27" ht="64" customHeight="1">
      <x:c r="A27" s="4" t="str">
        <x:v>El Paso</x:v>
      </x:c>
      <x:c r="B27" s="4" t="str">
        <x:v>TX</x:v>
      </x:c>
      <x:c r="C27" s="4" t="str">
        <x:v>Top 50 city proper</x:v>
      </x:c>
      <x:c r="D27" s="4" t="n">
        <x:f>COUNTIF(Datasets!$B$5:$B$102,A27)</x:f>
        <x:v>1</x:v>
      </x:c>
      <x:c r="E27" s="4" t="n">
        <x:f>COUNTIFS(Datasets!$B$5:$B$102,A27,Datasets!$G$5:$G$102,"A")</x:f>
        <x:v>0</x:v>
      </x:c>
      <x:c r="F27" s="4" t="n">
        <x:f>COUNTIFS(Datasets!$B$5:$B$102,A27,Datasets!$G$5:$G$102,"B")</x:f>
        <x:v>0</x:v>
      </x:c>
      <x:c r="G27" s="4" t="n">
        <x:f>COUNTIFS(Datasets!$B$5:$B$102,A27,Datasets!$G$5:$G$102,"C")</x:f>
        <x:v>1</x:v>
      </x:c>
      <x:c r="H27" s="4" t="str">
        <x:v>ArcGIS Hub</x:v>
      </x:c>
      <x:c r="I27" s="22" t="str">
        <x:v>https://opendata.elpasotexas.gov/</x:v>
      </x:c>
      <x:c r="J27" s="4" t="str"/>
      <x:c r="K27" s="22" t="str">
        <x:v>https://opendata.elpasotexas.gov/</x:v>
      </x:c>
      <x:c r="L27" s="22" t="str">
        <x:v>https://en.wikipedia.org/wiki/List_of_United_States_cities_by_population</x:v>
      </x:c>
      <x:c r="M27" s="4" t="str">
        <x:v>2026-10-07</x:v>
      </x:c>
    </x:row>
    <x:row r="28" ht="64" customHeight="1">
      <x:c r="A28" s="4" t="str">
        <x:v>Las Vegas</x:v>
      </x:c>
      <x:c r="B28" s="4" t="str">
        <x:v>NV</x:v>
      </x:c>
      <x:c r="C28" s="4" t="str">
        <x:v>Top 50 city proper</x:v>
      </x:c>
      <x:c r="D28" s="4" t="n">
        <x:f>COUNTIF(Datasets!$B$5:$B$102,A28)</x:f>
        <x:v>1</x:v>
      </x:c>
      <x:c r="E28" s="4" t="n">
        <x:f>COUNTIFS(Datasets!$B$5:$B$102,A28,Datasets!$G$5:$G$102,"A")</x:f>
        <x:v>0</x:v>
      </x:c>
      <x:c r="F28" s="4" t="n">
        <x:f>COUNTIFS(Datasets!$B$5:$B$102,A28,Datasets!$G$5:$G$102,"B")</x:f>
        <x:v>0</x:v>
      </x:c>
      <x:c r="G28" s="4" t="n">
        <x:f>COUNTIFS(Datasets!$B$5:$B$102,A28,Datasets!$G$5:$G$102,"C")</x:f>
        <x:v>1</x:v>
      </x:c>
      <x:c r="H28" s="4" t="str">
        <x:v>ArcGIS Hub</x:v>
      </x:c>
      <x:c r="I28" s="22" t="str">
        <x:v>https://geocommons-lasvegas.opendata.arcgis.com/</x:v>
      </x:c>
      <x:c r="J28" s="4" t="str">
        <x:v>City jurisdiction is distinct from unincorporated Clark County and much of the Strip.</x:v>
      </x:c>
      <x:c r="K28" s="22" t="str">
        <x:v>https://geocommons-lasvegas.opendata.arcgis.com/</x:v>
      </x:c>
      <x:c r="L28" s="22" t="str">
        <x:v>https://en.wikipedia.org/wiki/List_of_United_States_cities_by_population</x:v>
      </x:c>
      <x:c r="M28" s="4" t="str">
        <x:v>2026-10-07</x:v>
      </x:c>
    </x:row>
    <x:row r="29" ht="64" customHeight="1">
      <x:c r="A29" s="4" t="str">
        <x:v>Boston</x:v>
      </x:c>
      <x:c r="B29" s="4" t="str">
        <x:v>MA</x:v>
      </x:c>
      <x:c r="C29" s="4" t="str">
        <x:v>Top 50 city proper</x:v>
      </x:c>
      <x:c r="D29" s="4" t="n">
        <x:f>COUNTIF(Datasets!$B$5:$B$102,A29)</x:f>
        <x:v>1</x:v>
      </x:c>
      <x:c r="E29" s="4" t="n">
        <x:f>COUNTIFS(Datasets!$B$5:$B$102,A29,Datasets!$G$5:$G$102,"A")</x:f>
        <x:v>0</x:v>
      </x:c>
      <x:c r="F29" s="4" t="n">
        <x:f>COUNTIFS(Datasets!$B$5:$B$102,A29,Datasets!$G$5:$G$102,"B")</x:f>
        <x:v>0</x:v>
      </x:c>
      <x:c r="G29" s="4" t="n">
        <x:f>COUNTIFS(Datasets!$B$5:$B$102,A29,Datasets!$G$5:$G$102,"C")</x:f>
        <x:v>1</x:v>
      </x:c>
      <x:c r="H29" s="4" t="str">
        <x:v>CKAN</x:v>
      </x:c>
      <x:c r="I29" s="22" t="str">
        <x:v>https://data.boston.gov/</x:v>
      </x:c>
      <x:c r="J29" s="4" t="str"/>
      <x:c r="K29" s="22" t="str">
        <x:v>https://data.boston.gov/</x:v>
      </x:c>
      <x:c r="L29" s="22" t="str">
        <x:v>https://en.wikipedia.org/wiki/List_of_United_States_cities_by_population</x:v>
      </x:c>
      <x:c r="M29" s="4" t="str">
        <x:v>2026-10-07</x:v>
      </x:c>
    </x:row>
    <x:row r="30" ht="64" customHeight="1">
      <x:c r="A30" s="4" t="str">
        <x:v>Detroit</x:v>
      </x:c>
      <x:c r="B30" s="4" t="str">
        <x:v>MI</x:v>
      </x:c>
      <x:c r="C30" s="4" t="str">
        <x:v>Top 50 city proper</x:v>
      </x:c>
      <x:c r="D30" s="4" t="n">
        <x:f>COUNTIF(Datasets!$B$5:$B$102,A30)</x:f>
        <x:v>2</x:v>
      </x:c>
      <x:c r="E30" s="4" t="n">
        <x:f>COUNTIFS(Datasets!$B$5:$B$102,A30,Datasets!$G$5:$G$102,"A")</x:f>
        <x:v>0</x:v>
      </x:c>
      <x:c r="F30" s="4" t="n">
        <x:f>COUNTIFS(Datasets!$B$5:$B$102,A30,Datasets!$G$5:$G$102,"B")</x:f>
        <x:v>0</x:v>
      </x:c>
      <x:c r="G30" s="4" t="n">
        <x:f>COUNTIFS(Datasets!$B$5:$B$102,A30,Datasets!$G$5:$G$102,"C")</x:f>
        <x:v>2</x:v>
      </x:c>
      <x:c r="H30" s="4" t="str">
        <x:v>ArcGIS Hub</x:v>
      </x:c>
      <x:c r="I30" s="22" t="str">
        <x:v>https://data.detroitmi.gov/</x:v>
      </x:c>
      <x:c r="J30" s="4" t="str"/>
      <x:c r="K30" s="22" t="str">
        <x:v>https://data.detroitmi.gov/</x:v>
      </x:c>
      <x:c r="L30" s="22" t="str">
        <x:v>https://en.wikipedia.org/wiki/List_of_United_States_cities_by_population</x:v>
      </x:c>
      <x:c r="M30" s="4" t="str">
        <x:v>2026-10-07</x:v>
      </x:c>
    </x:row>
    <x:row r="31" ht="64" customHeight="1">
      <x:c r="A31" s="4" t="str">
        <x:v>Louisville</x:v>
      </x:c>
      <x:c r="B31" s="4" t="str">
        <x:v>KY</x:v>
      </x:c>
      <x:c r="C31" s="4" t="str">
        <x:v>Top 50 city proper</x:v>
      </x:c>
      <x:c r="D31" s="4" t="n">
        <x:f>COUNTIF(Datasets!$B$5:$B$102,A31)</x:f>
        <x:v>2</x:v>
      </x:c>
      <x:c r="E31" s="4" t="n">
        <x:f>COUNTIFS(Datasets!$B$5:$B$102,A31,Datasets!$G$5:$G$102,"A")</x:f>
        <x:v>0</x:v>
      </x:c>
      <x:c r="F31" s="4" t="n">
        <x:f>COUNTIFS(Datasets!$B$5:$B$102,A31,Datasets!$G$5:$G$102,"B")</x:f>
        <x:v>0</x:v>
      </x:c>
      <x:c r="G31" s="4" t="n">
        <x:f>COUNTIFS(Datasets!$B$5:$B$102,A31,Datasets!$G$5:$G$102,"C")</x:f>
        <x:v>2</x:v>
      </x:c>
      <x:c r="H31" s="4" t="str">
        <x:v>ArcGIS Hub</x:v>
      </x:c>
      <x:c r="I31" s="22" t="str">
        <x:v>https://data.louisvilleky.gov/</x:v>
      </x:c>
      <x:c r="J31" s="4" t="str"/>
      <x:c r="K31" s="22" t="str">
        <x:v>https://data.louisvilleky.gov/</x:v>
      </x:c>
      <x:c r="L31" s="22" t="str">
        <x:v>https://en.wikipedia.org/wiki/List_of_United_States_cities_by_population</x:v>
      </x:c>
      <x:c r="M31" s="4" t="str">
        <x:v>2026-10-07</x:v>
      </x:c>
    </x:row>
    <x:row r="32" ht="64" customHeight="1">
      <x:c r="A32" s="4" t="str">
        <x:v>Portland</x:v>
      </x:c>
      <x:c r="B32" s="4" t="str">
        <x:v>OR</x:v>
      </x:c>
      <x:c r="C32" s="4" t="str">
        <x:v>Top 50 city proper</x:v>
      </x:c>
      <x:c r="D32" s="4" t="n">
        <x:f>COUNTIF(Datasets!$B$5:$B$102,A32)</x:f>
        <x:v>2</x:v>
      </x:c>
      <x:c r="E32" s="4" t="n">
        <x:f>COUNTIFS(Datasets!$B$5:$B$102,A32,Datasets!$G$5:$G$102,"A")</x:f>
        <x:v>0</x:v>
      </x:c>
      <x:c r="F32" s="4" t="n">
        <x:f>COUNTIFS(Datasets!$B$5:$B$102,A32,Datasets!$G$5:$G$102,"B")</x:f>
        <x:v>0</x:v>
      </x:c>
      <x:c r="G32" s="4" t="n">
        <x:f>COUNTIFS(Datasets!$B$5:$B$102,A32,Datasets!$G$5:$G$102,"C")</x:f>
        <x:v>2</x:v>
      </x:c>
      <x:c r="H32" s="4" t="str">
        <x:v>ArcGIS Hub</x:v>
      </x:c>
      <x:c r="I32" s="22" t="str">
        <x:v>https://gis-pdx.opendata.arcgis.com/</x:v>
      </x:c>
      <x:c r="J32" s="4" t="str"/>
      <x:c r="K32" s="22" t="str">
        <x:v>https://gis-pdx.opendata.arcgis.com/</x:v>
      </x:c>
      <x:c r="L32" s="22" t="str">
        <x:v>https://en.wikipedia.org/wiki/List_of_United_States_cities_by_population</x:v>
      </x:c>
      <x:c r="M32" s="4" t="str">
        <x:v>2026-10-07</x:v>
      </x:c>
    </x:row>
    <x:row r="33" ht="64" customHeight="1">
      <x:c r="A33" s="4" t="str">
        <x:v>Memphis</x:v>
      </x:c>
      <x:c r="B33" s="4" t="str">
        <x:v>TN</x:v>
      </x:c>
      <x:c r="C33" s="4" t="str">
        <x:v>Top 50 city proper</x:v>
      </x:c>
      <x:c r="D33" s="4" t="n">
        <x:f>COUNTIF(Datasets!$B$5:$B$102,A33)</x:f>
        <x:v>1</x:v>
      </x:c>
      <x:c r="E33" s="4" t="n">
        <x:f>COUNTIFS(Datasets!$B$5:$B$102,A33,Datasets!$G$5:$G$102,"A")</x:f>
        <x:v>0</x:v>
      </x:c>
      <x:c r="F33" s="4" t="n">
        <x:f>COUNTIFS(Datasets!$B$5:$B$102,A33,Datasets!$G$5:$G$102,"B")</x:f>
        <x:v>0</x:v>
      </x:c>
      <x:c r="G33" s="4" t="n">
        <x:f>COUNTIFS(Datasets!$B$5:$B$102,A33,Datasets!$G$5:$G$102,"C")</x:f>
        <x:v>1</x:v>
      </x:c>
      <x:c r="H33" s="4" t="str">
        <x:v>ArcGIS Hub</x:v>
      </x:c>
      <x:c r="I33" s="22" t="str">
        <x:v>https://data.memphistn.gov/</x:v>
      </x:c>
      <x:c r="J33" s="4" t="str"/>
      <x:c r="K33" s="22" t="str">
        <x:v>https://data.memphistn.gov/</x:v>
      </x:c>
      <x:c r="L33" s="22" t="str">
        <x:v>https://en.wikipedia.org/wiki/List_of_United_States_cities_by_population</x:v>
      </x:c>
      <x:c r="M33" s="4" t="str">
        <x:v>2026-10-07</x:v>
      </x:c>
    </x:row>
    <x:row r="34" ht="64" customHeight="1">
      <x:c r="A34" s="4" t="str">
        <x:v>Baltimore</x:v>
      </x:c>
      <x:c r="B34" s="4" t="str">
        <x:v>MD</x:v>
      </x:c>
      <x:c r="C34" s="4" t="str">
        <x:v>Top 50 city proper</x:v>
      </x:c>
      <x:c r="D34" s="4" t="n">
        <x:f>COUNTIF(Datasets!$B$5:$B$102,A34)</x:f>
        <x:v>2</x:v>
      </x:c>
      <x:c r="E34" s="4" t="n">
        <x:f>COUNTIFS(Datasets!$B$5:$B$102,A34,Datasets!$G$5:$G$102,"A")</x:f>
        <x:v>0</x:v>
      </x:c>
      <x:c r="F34" s="4" t="n">
        <x:f>COUNTIFS(Datasets!$B$5:$B$102,A34,Datasets!$G$5:$G$102,"B")</x:f>
        <x:v>0</x:v>
      </x:c>
      <x:c r="G34" s="4" t="n">
        <x:f>COUNTIFS(Datasets!$B$5:$B$102,A34,Datasets!$G$5:$G$102,"C")</x:f>
        <x:v>2</x:v>
      </x:c>
      <x:c r="H34" s="4" t="str">
        <x:v>ArcGIS Hub</x:v>
      </x:c>
      <x:c r="I34" s="22" t="str">
        <x:v>https://data.baltimorecity.gov/</x:v>
      </x:c>
      <x:c r="J34" s="4" t="str"/>
      <x:c r="K34" s="22" t="str">
        <x:v>https://data.baltimorecity.gov/</x:v>
      </x:c>
      <x:c r="L34" s="22" t="str">
        <x:v>https://en.wikipedia.org/wiki/List_of_United_States_cities_by_population</x:v>
      </x:c>
      <x:c r="M34" s="4" t="str">
        <x:v>2026-10-07</x:v>
      </x:c>
    </x:row>
    <x:row r="35" ht="64" customHeight="1">
      <x:c r="A35" s="4" t="str">
        <x:v>Milwaukee</x:v>
      </x:c>
      <x:c r="B35" s="4" t="str">
        <x:v>WI</x:v>
      </x:c>
      <x:c r="C35" s="4" t="str">
        <x:v>Top 50 city proper</x:v>
      </x:c>
      <x:c r="D35" s="4" t="n">
        <x:f>COUNTIF(Datasets!$B$5:$B$102,A35)</x:f>
        <x:v>2</x:v>
      </x:c>
      <x:c r="E35" s="4" t="n">
        <x:f>COUNTIFS(Datasets!$B$5:$B$102,A35,Datasets!$G$5:$G$102,"A")</x:f>
        <x:v>1</x:v>
      </x:c>
      <x:c r="F35" s="4" t="n">
        <x:f>COUNTIFS(Datasets!$B$5:$B$102,A35,Datasets!$G$5:$G$102,"B")</x:f>
        <x:v>0</x:v>
      </x:c>
      <x:c r="G35" s="4" t="n">
        <x:f>COUNTIFS(Datasets!$B$5:$B$102,A35,Datasets!$G$5:$G$102,"C")</x:f>
        <x:v>1</x:v>
      </x:c>
      <x:c r="H35" s="4" t="str">
        <x:v>CKAN</x:v>
      </x:c>
      <x:c r="I35" s="22" t="str">
        <x:v>https://data.milwaukee.gov/</x:v>
      </x:c>
      <x:c r="J35" s="4" t="str"/>
      <x:c r="K35" s="22" t="str">
        <x:v>https://data.milwaukee.gov/</x:v>
      </x:c>
      <x:c r="L35" s="22" t="str">
        <x:v>https://en.wikipedia.org/wiki/List_of_United_States_cities_by_population</x:v>
      </x:c>
      <x:c r="M35" s="4" t="str">
        <x:v>2026-10-07</x:v>
      </x:c>
    </x:row>
    <x:row r="36" ht="64" customHeight="1">
      <x:c r="A36" s="4" t="str">
        <x:v>Albuquerque</x:v>
      </x:c>
      <x:c r="B36" s="4" t="str">
        <x:v>NM</x:v>
      </x:c>
      <x:c r="C36" s="4" t="str">
        <x:v>Top 50 city proper</x:v>
      </x:c>
      <x:c r="D36" s="4" t="n">
        <x:f>COUNTIF(Datasets!$B$5:$B$102,A36)</x:f>
        <x:v>2</x:v>
      </x:c>
      <x:c r="E36" s="4" t="n">
        <x:f>COUNTIFS(Datasets!$B$5:$B$102,A36,Datasets!$G$5:$G$102,"A")</x:f>
        <x:v>2</x:v>
      </x:c>
      <x:c r="F36" s="4" t="n">
        <x:f>COUNTIFS(Datasets!$B$5:$B$102,A36,Datasets!$G$5:$G$102,"B")</x:f>
        <x:v>0</x:v>
      </x:c>
      <x:c r="G36" s="4" t="n">
        <x:f>COUNTIFS(Datasets!$B$5:$B$102,A36,Datasets!$G$5:$G$102,"C")</x:f>
        <x:v>0</x:v>
      </x:c>
      <x:c r="H36" s="4" t="str">
        <x:v>Direct files / ArcGIS</x:v>
      </x:c>
      <x:c r="I36" s="22" t="str">
        <x:v>https://www.cabq.gov/abq-data</x:v>
      </x:c>
      <x:c r="J36" s="4" t="str"/>
      <x:c r="K36" s="22" t="str">
        <x:v>https://www.cabq.gov/abq-data</x:v>
      </x:c>
      <x:c r="L36" s="22" t="str">
        <x:v>https://en.wikipedia.org/wiki/List_of_United_States_cities_by_population</x:v>
      </x:c>
      <x:c r="M36" s="4" t="str">
        <x:v>2026-10-07</x:v>
      </x:c>
    </x:row>
    <x:row r="37" ht="64" customHeight="1">
      <x:c r="A37" s="4" t="str">
        <x:v>Fresno</x:v>
      </x:c>
      <x:c r="B37" s="4" t="str">
        <x:v>CA</x:v>
      </x:c>
      <x:c r="C37" s="4" t="str">
        <x:v>Top 50 city proper</x:v>
      </x:c>
      <x:c r="D37" s="4" t="n">
        <x:f>COUNTIF(Datasets!$B$5:$B$102,A37)</x:f>
        <x:v>1</x:v>
      </x:c>
      <x:c r="E37" s="4" t="n">
        <x:f>COUNTIFS(Datasets!$B$5:$B$102,A37,Datasets!$G$5:$G$102,"A")</x:f>
        <x:v>0</x:v>
      </x:c>
      <x:c r="F37" s="4" t="n">
        <x:f>COUNTIFS(Datasets!$B$5:$B$102,A37,Datasets!$G$5:$G$102,"B")</x:f>
        <x:v>0</x:v>
      </x:c>
      <x:c r="G37" s="4" t="n">
        <x:f>COUNTIFS(Datasets!$B$5:$B$102,A37,Datasets!$G$5:$G$102,"C")</x:f>
        <x:v>1</x:v>
      </x:c>
      <x:c r="H37" s="4" t="str">
        <x:v>ArcGIS Hub</x:v>
      </x:c>
      <x:c r="I37" s="22" t="str">
        <x:v>https://city-of-fresno-gis-hub-cityoffresno.hub.arcgis.com/</x:v>
      </x:c>
      <x:c r="J37" s="4" t="str"/>
      <x:c r="K37" s="22" t="str">
        <x:v>https://city-of-fresno-gis-hub-cityoffresno.hub.arcgis.com/</x:v>
      </x:c>
      <x:c r="L37" s="22" t="str">
        <x:v>https://en.wikipedia.org/wiki/List_of_United_States_cities_by_population</x:v>
      </x:c>
      <x:c r="M37" s="4" t="str">
        <x:v>2026-10-07</x:v>
      </x:c>
    </x:row>
    <x:row r="38" ht="64" customHeight="1">
      <x:c r="A38" s="4" t="str">
        <x:v>Tucson</x:v>
      </x:c>
      <x:c r="B38" s="4" t="str">
        <x:v>AZ</x:v>
      </x:c>
      <x:c r="C38" s="4" t="str">
        <x:v>Top 50 city proper</x:v>
      </x:c>
      <x:c r="D38" s="4" t="n">
        <x:f>COUNTIF(Datasets!$B$5:$B$102,A38)</x:f>
        <x:v>1</x:v>
      </x:c>
      <x:c r="E38" s="4" t="n">
        <x:f>COUNTIFS(Datasets!$B$5:$B$102,A38,Datasets!$G$5:$G$102,"A")</x:f>
        <x:v>0</x:v>
      </x:c>
      <x:c r="F38" s="4" t="n">
        <x:f>COUNTIFS(Datasets!$B$5:$B$102,A38,Datasets!$G$5:$G$102,"B")</x:f>
        <x:v>0</x:v>
      </x:c>
      <x:c r="G38" s="4" t="n">
        <x:f>COUNTIFS(Datasets!$B$5:$B$102,A38,Datasets!$G$5:$G$102,"C")</x:f>
        <x:v>1</x:v>
      </x:c>
      <x:c r="H38" s="4" t="str">
        <x:v>ArcGIS Hub</x:v>
      </x:c>
      <x:c r="I38" s="22" t="str">
        <x:v>https://gisdata.tucsonaz.gov/</x:v>
      </x:c>
      <x:c r="J38" s="4" t="str"/>
      <x:c r="K38" s="22" t="str">
        <x:v>https://gisdata.tucsonaz.gov/</x:v>
      </x:c>
      <x:c r="L38" s="22" t="str">
        <x:v>https://en.wikipedia.org/wiki/List_of_United_States_cities_by_population</x:v>
      </x:c>
      <x:c r="M38" s="4" t="str">
        <x:v>2026-10-07</x:v>
      </x:c>
    </x:row>
    <x:row r="39" ht="64" customHeight="1">
      <x:c r="A39" s="4" t="str">
        <x:v>Sacramento</x:v>
      </x:c>
      <x:c r="B39" s="4" t="str">
        <x:v>CA</x:v>
      </x:c>
      <x:c r="C39" s="4" t="str">
        <x:v>Top 50 city proper</x:v>
      </x:c>
      <x:c r="D39" s="4" t="n">
        <x:f>COUNTIF(Datasets!$B$5:$B$102,A39)</x:f>
        <x:v>2</x:v>
      </x:c>
      <x:c r="E39" s="4" t="n">
        <x:f>COUNTIFS(Datasets!$B$5:$B$102,A39,Datasets!$G$5:$G$102,"A")</x:f>
        <x:v>0</x:v>
      </x:c>
      <x:c r="F39" s="4" t="n">
        <x:f>COUNTIFS(Datasets!$B$5:$B$102,A39,Datasets!$G$5:$G$102,"B")</x:f>
        <x:v>0</x:v>
      </x:c>
      <x:c r="G39" s="4" t="n">
        <x:f>COUNTIFS(Datasets!$B$5:$B$102,A39,Datasets!$G$5:$G$102,"C")</x:f>
        <x:v>2</x:v>
      </x:c>
      <x:c r="H39" s="4" t="str">
        <x:v>ArcGIS Hub</x:v>
      </x:c>
      <x:c r="I39" s="22" t="str">
        <x:v>https://data.cityofsacramento.org/</x:v>
      </x:c>
      <x:c r="J39" s="4" t="str"/>
      <x:c r="K39" s="22" t="str">
        <x:v>https://data.cityofsacramento.org/</x:v>
      </x:c>
      <x:c r="L39" s="22" t="str">
        <x:v>https://en.wikipedia.org/wiki/List_of_United_States_cities_by_population</x:v>
      </x:c>
      <x:c r="M39" s="4" t="str">
        <x:v>2026-10-07</x:v>
      </x:c>
    </x:row>
    <x:row r="40" ht="64" customHeight="1">
      <x:c r="A40" s="4" t="str">
        <x:v>Atlanta</x:v>
      </x:c>
      <x:c r="B40" s="4" t="str">
        <x:v>GA</x:v>
      </x:c>
      <x:c r="C40" s="4" t="str">
        <x:v>Top 50 city proper</x:v>
      </x:c>
      <x:c r="D40" s="4" t="n">
        <x:f>COUNTIF(Datasets!$B$5:$B$102,A40)</x:f>
        <x:v>2</x:v>
      </x:c>
      <x:c r="E40" s="4" t="n">
        <x:f>COUNTIFS(Datasets!$B$5:$B$102,A40,Datasets!$G$5:$G$102,"A")</x:f>
        <x:v>0</x:v>
      </x:c>
      <x:c r="F40" s="4" t="n">
        <x:f>COUNTIFS(Datasets!$B$5:$B$102,A40,Datasets!$G$5:$G$102,"B")</x:f>
        <x:v>0</x:v>
      </x:c>
      <x:c r="G40" s="4" t="n">
        <x:f>COUNTIFS(Datasets!$B$5:$B$102,A40,Datasets!$G$5:$G$102,"C")</x:f>
        <x:v>2</x:v>
      </x:c>
      <x:c r="H40" s="4" t="str">
        <x:v>ArcGIS Hub</x:v>
      </x:c>
      <x:c r="I40" s="22" t="str">
        <x:v>https://dpcd-coaplangis.opendata.arcgis.com/</x:v>
      </x:c>
      <x:c r="J40" s="4" t="str"/>
      <x:c r="K40" s="22" t="str">
        <x:v>https://dpcd-coaplangis.opendata.arcgis.com/</x:v>
      </x:c>
      <x:c r="L40" s="22" t="str">
        <x:v>https://en.wikipedia.org/wiki/List_of_United_States_cities_by_population</x:v>
      </x:c>
      <x:c r="M40" s="4" t="str">
        <x:v>2026-10-07</x:v>
      </x:c>
    </x:row>
    <x:row r="41" ht="64" customHeight="1">
      <x:c r="A41" s="4" t="str">
        <x:v>Kansas City</x:v>
      </x:c>
      <x:c r="B41" s="4" t="str">
        <x:v>MO</x:v>
      </x:c>
      <x:c r="C41" s="4" t="str">
        <x:v>Top 50 city proper</x:v>
      </x:c>
      <x:c r="D41" s="4" t="n">
        <x:f>COUNTIF(Datasets!$B$5:$B$102,A41)</x:f>
        <x:v>1</x:v>
      </x:c>
      <x:c r="E41" s="4" t="n">
        <x:f>COUNTIFS(Datasets!$B$5:$B$102,A41,Datasets!$G$5:$G$102,"A")</x:f>
        <x:v>0</x:v>
      </x:c>
      <x:c r="F41" s="4" t="n">
        <x:f>COUNTIFS(Datasets!$B$5:$B$102,A41,Datasets!$G$5:$G$102,"B")</x:f>
        <x:v>1</x:v>
      </x:c>
      <x:c r="G41" s="4" t="n">
        <x:f>COUNTIFS(Datasets!$B$5:$B$102,A41,Datasets!$G$5:$G$102,"C")</x:f>
        <x:v>0</x:v>
      </x:c>
      <x:c r="H41" s="4" t="str">
        <x:v>Socrata</x:v>
      </x:c>
      <x:c r="I41" s="22" t="str">
        <x:v>https://data.kcmo.org/</x:v>
      </x:c>
      <x:c r="J41" s="4" t="str"/>
      <x:c r="K41" s="22" t="str">
        <x:v>https://data.kcmo.org/</x:v>
      </x:c>
      <x:c r="L41" s="22" t="str">
        <x:v>https://en.wikipedia.org/wiki/List_of_United_States_cities_by_population</x:v>
      </x:c>
      <x:c r="M41" s="4" t="str">
        <x:v>2026-10-07</x:v>
      </x:c>
    </x:row>
    <x:row r="42" ht="64" customHeight="1">
      <x:c r="A42" s="4" t="str">
        <x:v>Mesa</x:v>
      </x:c>
      <x:c r="B42" s="4" t="str">
        <x:v>AZ</x:v>
      </x:c>
      <x:c r="C42" s="4" t="str">
        <x:v>Top 50 city proper</x:v>
      </x:c>
      <x:c r="D42" s="4" t="n">
        <x:f>COUNTIF(Datasets!$B$5:$B$102,A42)</x:f>
        <x:v>2</x:v>
      </x:c>
      <x:c r="E42" s="4" t="n">
        <x:f>COUNTIFS(Datasets!$B$5:$B$102,A42,Datasets!$G$5:$G$102,"A")</x:f>
        <x:v>0</x:v>
      </x:c>
      <x:c r="F42" s="4" t="n">
        <x:f>COUNTIFS(Datasets!$B$5:$B$102,A42,Datasets!$G$5:$G$102,"B")</x:f>
        <x:v>2</x:v>
      </x:c>
      <x:c r="G42" s="4" t="n">
        <x:f>COUNTIFS(Datasets!$B$5:$B$102,A42,Datasets!$G$5:$G$102,"C")</x:f>
        <x:v>0</x:v>
      </x:c>
      <x:c r="H42" s="4" t="str">
        <x:v>Socrata</x:v>
      </x:c>
      <x:c r="I42" s="22" t="str">
        <x:v>https://data.mesaaz.gov/</x:v>
      </x:c>
      <x:c r="J42" s="4" t="str"/>
      <x:c r="K42" s="22" t="str">
        <x:v>https://data.mesaaz.gov/</x:v>
      </x:c>
      <x:c r="L42" s="22" t="str">
        <x:v>https://en.wikipedia.org/wiki/List_of_United_States_cities_by_population</x:v>
      </x:c>
      <x:c r="M42" s="4" t="str">
        <x:v>2026-10-07</x:v>
      </x:c>
    </x:row>
    <x:row r="43" ht="64" customHeight="1">
      <x:c r="A43" s="4" t="str">
        <x:v>Raleigh</x:v>
      </x:c>
      <x:c r="B43" s="4" t="str">
        <x:v>NC</x:v>
      </x:c>
      <x:c r="C43" s="4" t="str">
        <x:v>Top 50 city proper</x:v>
      </x:c>
      <x:c r="D43" s="4" t="n">
        <x:f>COUNTIF(Datasets!$B$5:$B$102,A43)</x:f>
        <x:v>1</x:v>
      </x:c>
      <x:c r="E43" s="4" t="n">
        <x:f>COUNTIFS(Datasets!$B$5:$B$102,A43,Datasets!$G$5:$G$102,"A")</x:f>
        <x:v>0</x:v>
      </x:c>
      <x:c r="F43" s="4" t="n">
        <x:f>COUNTIFS(Datasets!$B$5:$B$102,A43,Datasets!$G$5:$G$102,"B")</x:f>
        <x:v>0</x:v>
      </x:c>
      <x:c r="G43" s="4" t="n">
        <x:f>COUNTIFS(Datasets!$B$5:$B$102,A43,Datasets!$G$5:$G$102,"C")</x:f>
        <x:v>1</x:v>
      </x:c>
      <x:c r="H43" s="4" t="str">
        <x:v>ArcGIS Hub</x:v>
      </x:c>
      <x:c r="I43" s="22" t="str">
        <x:v>https://data-ral.opendata.arcgis.com/</x:v>
      </x:c>
      <x:c r="J43" s="4" t="str"/>
      <x:c r="K43" s="22" t="str">
        <x:v>https://data-ral.opendata.arcgis.com/</x:v>
      </x:c>
      <x:c r="L43" s="22" t="str">
        <x:v>https://en.wikipedia.org/wiki/List_of_United_States_cities_by_population</x:v>
      </x:c>
      <x:c r="M43" s="4" t="str">
        <x:v>2026-10-07</x:v>
      </x:c>
    </x:row>
    <x:row r="44" ht="64" customHeight="1">
      <x:c r="A44" s="4" t="str">
        <x:v>Colorado Springs</x:v>
      </x:c>
      <x:c r="B44" s="4" t="str">
        <x:v>CO</x:v>
      </x:c>
      <x:c r="C44" s="4" t="str">
        <x:v>Top 50 city proper</x:v>
      </x:c>
      <x:c r="D44" s="4" t="n">
        <x:f>COUNTIF(Datasets!$B$5:$B$102,A44)</x:f>
        <x:v>1</x:v>
      </x:c>
      <x:c r="E44" s="4" t="n">
        <x:f>COUNTIFS(Datasets!$B$5:$B$102,A44,Datasets!$G$5:$G$102,"A")</x:f>
        <x:v>1</x:v>
      </x:c>
      <x:c r="F44" s="4" t="n">
        <x:f>COUNTIFS(Datasets!$B$5:$B$102,A44,Datasets!$G$5:$G$102,"B")</x:f>
        <x:v>0</x:v>
      </x:c>
      <x:c r="G44" s="4" t="n">
        <x:f>COUNTIFS(Datasets!$B$5:$B$102,A44,Datasets!$G$5:$G$102,"C")</x:f>
        <x:v>0</x:v>
      </x:c>
      <x:c r="H44" s="4" t="str">
        <x:v>Direct GTFS files</x:v>
      </x:c>
      <x:c r="I44" s="22" t="str">
        <x:v>https://coloradosprings.gov/mountainmetro</x:v>
      </x:c>
      <x:c r="J44" s="4" t="str">
        <x:v>Mountain Metro transit service area. Official download URL located through the Transitland registry.</x:v>
      </x:c>
      <x:c r="K44" s="22" t="str">
        <x:v>https://coloradosprings.gov/mountainmetro</x:v>
      </x:c>
      <x:c r="L44" s="22" t="str">
        <x:v>https://en.wikipedia.org/wiki/List_of_United_States_cities_by_population</x:v>
      </x:c>
      <x:c r="M44" s="4" t="str">
        <x:v>2026-10-07</x:v>
      </x:c>
    </x:row>
    <x:row r="45" ht="64" customHeight="1">
      <x:c r="A45" s="4" t="str">
        <x:v>Miami</x:v>
      </x:c>
      <x:c r="B45" s="4" t="str">
        <x:v>FL</x:v>
      </x:c>
      <x:c r="C45" s="4" t="str">
        <x:v>Top 50 city proper</x:v>
      </x:c>
      <x:c r="D45" s="4" t="n">
        <x:f>COUNTIF(Datasets!$B$5:$B$102,A45)</x:f>
        <x:v>2</x:v>
      </x:c>
      <x:c r="E45" s="4" t="n">
        <x:f>COUNTIFS(Datasets!$B$5:$B$102,A45,Datasets!$G$5:$G$102,"A")</x:f>
        <x:v>0</x:v>
      </x:c>
      <x:c r="F45" s="4" t="n">
        <x:f>COUNTIFS(Datasets!$B$5:$B$102,A45,Datasets!$G$5:$G$102,"B")</x:f>
        <x:v>0</x:v>
      </x:c>
      <x:c r="G45" s="4" t="n">
        <x:f>COUNTIFS(Datasets!$B$5:$B$102,A45,Datasets!$G$5:$G$102,"C")</x:f>
        <x:v>2</x:v>
      </x:c>
      <x:c r="H45" s="4" t="str">
        <x:v>ArcGIS Hub</x:v>
      </x:c>
      <x:c r="I45" s="22" t="str">
        <x:v>https://datahub-miamigis.opendata.arcgis.com/</x:v>
      </x:c>
      <x:c r="J45" s="4" t="str"/>
      <x:c r="K45" s="22" t="str">
        <x:v>https://datahub-miamigis.opendata.arcgis.com/</x:v>
      </x:c>
      <x:c r="L45" s="22" t="str">
        <x:v>https://en.wikipedia.org/wiki/List_of_United_States_cities_by_population</x:v>
      </x:c>
      <x:c r="M45" s="4" t="str">
        <x:v>2026-10-07</x:v>
      </x:c>
    </x:row>
    <x:row r="46" ht="64" customHeight="1">
      <x:c r="A46" s="4" t="str">
        <x:v>Omaha</x:v>
      </x:c>
      <x:c r="B46" s="4" t="str">
        <x:v>NE</x:v>
      </x:c>
      <x:c r="C46" s="4" t="str">
        <x:v>Top 50 city proper</x:v>
      </x:c>
      <x:c r="D46" s="4" t="n">
        <x:f>COUNTIF(Datasets!$B$5:$B$102,A46)</x:f>
        <x:v>1</x:v>
      </x:c>
      <x:c r="E46" s="4" t="n">
        <x:f>COUNTIFS(Datasets!$B$5:$B$102,A46,Datasets!$G$5:$G$102,"A")</x:f>
        <x:v>0</x:v>
      </x:c>
      <x:c r="F46" s="4" t="n">
        <x:f>COUNTIFS(Datasets!$B$5:$B$102,A46,Datasets!$G$5:$G$102,"B")</x:f>
        <x:v>0</x:v>
      </x:c>
      <x:c r="G46" s="4" t="n">
        <x:f>COUNTIFS(Datasets!$B$5:$B$102,A46,Datasets!$G$5:$G$102,"C")</x:f>
        <x:v>1</x:v>
      </x:c>
      <x:c r="H46" s="4" t="str">
        <x:v>ArcGIS Hub</x:v>
      </x:c>
      <x:c r="I46" s="22" t="str">
        <x:v>https://data.dogis.org/</x:v>
      </x:c>
      <x:c r="J46" s="4" t="str"/>
      <x:c r="K46" s="22" t="str">
        <x:v>https://data.dogis.org/</x:v>
      </x:c>
      <x:c r="L46" s="22" t="str">
        <x:v>https://en.wikipedia.org/wiki/List_of_United_States_cities_by_population</x:v>
      </x:c>
      <x:c r="M46" s="4" t="str">
        <x:v>2026-10-07</x:v>
      </x:c>
    </x:row>
    <x:row r="47" ht="64" customHeight="1">
      <x:c r="A47" s="4" t="str">
        <x:v>Virginia Beach</x:v>
      </x:c>
      <x:c r="B47" s="4" t="str">
        <x:v>VA</x:v>
      </x:c>
      <x:c r="C47" s="4" t="str">
        <x:v>Top 50 city proper</x:v>
      </x:c>
      <x:c r="D47" s="4" t="n">
        <x:f>COUNTIF(Datasets!$B$5:$B$102,A47)</x:f>
        <x:v>2</x:v>
      </x:c>
      <x:c r="E47" s="4" t="n">
        <x:f>COUNTIFS(Datasets!$B$5:$B$102,A47,Datasets!$G$5:$G$102,"A")</x:f>
        <x:v>0</x:v>
      </x:c>
      <x:c r="F47" s="4" t="n">
        <x:f>COUNTIFS(Datasets!$B$5:$B$102,A47,Datasets!$G$5:$G$102,"B")</x:f>
        <x:v>0</x:v>
      </x:c>
      <x:c r="G47" s="4" t="n">
        <x:f>COUNTIFS(Datasets!$B$5:$B$102,A47,Datasets!$G$5:$G$102,"C")</x:f>
        <x:v>2</x:v>
      </x:c>
      <x:c r="H47" s="4" t="str">
        <x:v>ArcGIS Hub</x:v>
      </x:c>
      <x:c r="I47" s="22" t="str">
        <x:v>https://data.virginiabeach.gov/</x:v>
      </x:c>
      <x:c r="J47" s="4" t="str"/>
      <x:c r="K47" s="22" t="str">
        <x:v>https://data.virginiabeach.gov/</x:v>
      </x:c>
      <x:c r="L47" s="22" t="str">
        <x:v>https://en.wikipedia.org/wiki/List_of_United_States_cities_by_population</x:v>
      </x:c>
      <x:c r="M47" s="4" t="str">
        <x:v>2026-10-07</x:v>
      </x:c>
    </x:row>
    <x:row r="48" ht="64" customHeight="1">
      <x:c r="A48" s="4" t="str">
        <x:v>Long Beach</x:v>
      </x:c>
      <x:c r="B48" s="4" t="str">
        <x:v>CA</x:v>
      </x:c>
      <x:c r="C48" s="4" t="str">
        <x:v>Top 50 city proper</x:v>
      </x:c>
      <x:c r="D48" s="4" t="n">
        <x:f>COUNTIF(Datasets!$B$5:$B$102,A48)</x:f>
        <x:v>1</x:v>
      </x:c>
      <x:c r="E48" s="4" t="n">
        <x:f>COUNTIFS(Datasets!$B$5:$B$102,A48,Datasets!$G$5:$G$102,"A")</x:f>
        <x:v>0</x:v>
      </x:c>
      <x:c r="F48" s="4" t="n">
        <x:f>COUNTIFS(Datasets!$B$5:$B$102,A48,Datasets!$G$5:$G$102,"B")</x:f>
        <x:v>1</x:v>
      </x:c>
      <x:c r="G48" s="4" t="n">
        <x:f>COUNTIFS(Datasets!$B$5:$B$102,A48,Datasets!$G$5:$G$102,"C")</x:f>
        <x:v>0</x:v>
      </x:c>
      <x:c r="H48" s="4" t="str">
        <x:v>Opendatasoft</x:v>
      </x:c>
      <x:c r="I48" s="22" t="str">
        <x:v>https://data.longbeach.gov/explore/</x:v>
      </x:c>
      <x:c r="J48" s="4" t="str"/>
      <x:c r="K48" s="22" t="str">
        <x:v>https://data.longbeach.gov/explore/</x:v>
      </x:c>
      <x:c r="L48" s="22" t="str">
        <x:v>https://en.wikipedia.org/wiki/List_of_United_States_cities_by_population</x:v>
      </x:c>
      <x:c r="M48" s="4" t="str">
        <x:v>2026-10-07</x:v>
      </x:c>
    </x:row>
    <x:row r="49" ht="64" customHeight="1">
      <x:c r="A49" s="4" t="str">
        <x:v>Oakland</x:v>
      </x:c>
      <x:c r="B49" s="4" t="str">
        <x:v>CA</x:v>
      </x:c>
      <x:c r="C49" s="4" t="str">
        <x:v>Top 50 city proper</x:v>
      </x:c>
      <x:c r="D49" s="4" t="n">
        <x:f>COUNTIF(Datasets!$B$5:$B$102,A49)</x:f>
        <x:v>1</x:v>
      </x:c>
      <x:c r="E49" s="4" t="n">
        <x:f>COUNTIFS(Datasets!$B$5:$B$102,A49,Datasets!$G$5:$G$102,"A")</x:f>
        <x:v>0</x:v>
      </x:c>
      <x:c r="F49" s="4" t="n">
        <x:f>COUNTIFS(Datasets!$B$5:$B$102,A49,Datasets!$G$5:$G$102,"B")</x:f>
        <x:v>1</x:v>
      </x:c>
      <x:c r="G49" s="4" t="n">
        <x:f>COUNTIFS(Datasets!$B$5:$B$102,A49,Datasets!$G$5:$G$102,"C")</x:f>
        <x:v>0</x:v>
      </x:c>
      <x:c r="H49" s="4" t="str">
        <x:v>Socrata</x:v>
      </x:c>
      <x:c r="I49" s="22" t="str">
        <x:v>https://data.oaklandca.gov/</x:v>
      </x:c>
      <x:c r="J49" s="4" t="str"/>
      <x:c r="K49" s="22" t="str">
        <x:v>https://data.oaklandca.gov/</x:v>
      </x:c>
      <x:c r="L49" s="22" t="str">
        <x:v>https://en.wikipedia.org/wiki/List_of_United_States_cities_by_population</x:v>
      </x:c>
      <x:c r="M49" s="4" t="str">
        <x:v>2026-10-07</x:v>
      </x:c>
    </x:row>
    <x:row r="50" ht="64" customHeight="1">
      <x:c r="A50" s="4" t="str">
        <x:v>Minneapolis</x:v>
      </x:c>
      <x:c r="B50" s="4" t="str">
        <x:v>MN</x:v>
      </x:c>
      <x:c r="C50" s="4" t="str">
        <x:v>Top 50 city proper</x:v>
      </x:c>
      <x:c r="D50" s="4" t="n">
        <x:f>COUNTIF(Datasets!$B$5:$B$102,A50)</x:f>
        <x:v>2</x:v>
      </x:c>
      <x:c r="E50" s="4" t="n">
        <x:f>COUNTIFS(Datasets!$B$5:$B$102,A50,Datasets!$G$5:$G$102,"A")</x:f>
        <x:v>0</x:v>
      </x:c>
      <x:c r="F50" s="4" t="n">
        <x:f>COUNTIFS(Datasets!$B$5:$B$102,A50,Datasets!$G$5:$G$102,"B")</x:f>
        <x:v>0</x:v>
      </x:c>
      <x:c r="G50" s="4" t="n">
        <x:f>COUNTIFS(Datasets!$B$5:$B$102,A50,Datasets!$G$5:$G$102,"C")</x:f>
        <x:v>2</x:v>
      </x:c>
      <x:c r="H50" s="4" t="str">
        <x:v>ArcGIS Hub</x:v>
      </x:c>
      <x:c r="I50" s="22" t="str">
        <x:v>https://opendata.minneapolismn.gov/</x:v>
      </x:c>
      <x:c r="J50" s="4" t="str"/>
      <x:c r="K50" s="22" t="str">
        <x:v>https://opendata.minneapolismn.gov/</x:v>
      </x:c>
      <x:c r="L50" s="22" t="str">
        <x:v>https://en.wikipedia.org/wiki/List_of_United_States_cities_by_population</x:v>
      </x:c>
      <x:c r="M50" s="4" t="str">
        <x:v>2026-10-07</x:v>
      </x:c>
    </x:row>
    <x:row r="51" ht="64" customHeight="1">
      <x:c r="A51" s="4" t="str">
        <x:v>Bakersfield</x:v>
      </x:c>
      <x:c r="B51" s="4" t="str">
        <x:v>CA</x:v>
      </x:c>
      <x:c r="C51" s="4" t="str">
        <x:v>Top 50 city proper</x:v>
      </x:c>
      <x:c r="D51" s="4" t="n">
        <x:f>COUNTIF(Datasets!$B$5:$B$102,A51)</x:f>
        <x:v>1</x:v>
      </x:c>
      <x:c r="E51" s="4" t="n">
        <x:f>COUNTIFS(Datasets!$B$5:$B$102,A51,Datasets!$G$5:$G$102,"A")</x:f>
        <x:v>0</x:v>
      </x:c>
      <x:c r="F51" s="4" t="n">
        <x:f>COUNTIFS(Datasets!$B$5:$B$102,A51,Datasets!$G$5:$G$102,"B")</x:f>
        <x:v>0</x:v>
      </x:c>
      <x:c r="G51" s="4" t="n">
        <x:f>COUNTIFS(Datasets!$B$5:$B$102,A51,Datasets!$G$5:$G$102,"C")</x:f>
        <x:v>1</x:v>
      </x:c>
      <x:c r="H51" s="4" t="str">
        <x:v>ArcGIS Hub</x:v>
      </x:c>
      <x:c r="I51" s="22" t="str">
        <x:v>https://bakersfielddatalibrary-cob.opendata.arcgis.com/</x:v>
      </x:c>
      <x:c r="J51" s="4" t="str"/>
      <x:c r="K51" s="22" t="str">
        <x:v>https://bakersfielddatalibrary-cob.opendata.arcgis.com/</x:v>
      </x:c>
      <x:c r="L51" s="22" t="str">
        <x:v>https://en.wikipedia.org/wiki/List_of_United_States_cities_by_population</x:v>
      </x:c>
      <x:c r="M51" s="4" t="str">
        <x:v>2026-10-07</x:v>
      </x:c>
    </x:row>
    <x:row r="52" ht="64" customHeight="1">
      <x:c r="A52" s="4" t="str">
        <x:v>Tulsa</x:v>
      </x:c>
      <x:c r="B52" s="4" t="str">
        <x:v>OK</x:v>
      </x:c>
      <x:c r="C52" s="4" t="str">
        <x:v>Top 50 city proper</x:v>
      </x:c>
      <x:c r="D52" s="4" t="n">
        <x:f>COUNTIF(Datasets!$B$5:$B$102,A52)</x:f>
        <x:v>1</x:v>
      </x:c>
      <x:c r="E52" s="4" t="n">
        <x:f>COUNTIFS(Datasets!$B$5:$B$102,A52,Datasets!$G$5:$G$102,"A")</x:f>
        <x:v>0</x:v>
      </x:c>
      <x:c r="F52" s="4" t="n">
        <x:f>COUNTIFS(Datasets!$B$5:$B$102,A52,Datasets!$G$5:$G$102,"B")</x:f>
        <x:v>0</x:v>
      </x:c>
      <x:c r="G52" s="4" t="n">
        <x:f>COUNTIFS(Datasets!$B$5:$B$102,A52,Datasets!$G$5:$G$102,"C")</x:f>
        <x:v>1</x:v>
      </x:c>
      <x:c r="H52" s="4" t="str">
        <x:v>ArcGIS Hub</x:v>
      </x:c>
      <x:c r="I52" s="22" t="str">
        <x:v>https://gis2-cityoftulsa.opendata.arcgis.com/</x:v>
      </x:c>
      <x:c r="J52" s="4" t="str"/>
      <x:c r="K52" s="22" t="str">
        <x:v>https://gis2-cityoftulsa.opendata.arcgis.com/</x:v>
      </x:c>
      <x:c r="L52" s="22" t="str">
        <x:v>https://en.wikipedia.org/wiki/List_of_United_States_cities_by_population</x:v>
      </x:c>
      <x:c r="M52" s="4" t="str">
        <x:v>2026-10-07</x:v>
      </x:c>
    </x:row>
    <x:row r="53" ht="64" customHeight="1">
      <x:c r="A53" s="4" t="str">
        <x:v>Tampa</x:v>
      </x:c>
      <x:c r="B53" s="4" t="str">
        <x:v>FL</x:v>
      </x:c>
      <x:c r="C53" s="4" t="str">
        <x:v>Top 50 city proper</x:v>
      </x:c>
      <x:c r="D53" s="4" t="n">
        <x:f>COUNTIF(Datasets!$B$5:$B$102,A53)</x:f>
        <x:v>2</x:v>
      </x:c>
      <x:c r="E53" s="4" t="n">
        <x:f>COUNTIFS(Datasets!$B$5:$B$102,A53,Datasets!$G$5:$G$102,"A")</x:f>
        <x:v>0</x:v>
      </x:c>
      <x:c r="F53" s="4" t="n">
        <x:f>COUNTIFS(Datasets!$B$5:$B$102,A53,Datasets!$G$5:$G$102,"B")</x:f>
        <x:v>0</x:v>
      </x:c>
      <x:c r="G53" s="4" t="n">
        <x:f>COUNTIFS(Datasets!$B$5:$B$102,A53,Datasets!$G$5:$G$102,"C")</x:f>
        <x:v>2</x:v>
      </x:c>
      <x:c r="H53" s="4" t="str">
        <x:v>ArcGIS Hub</x:v>
      </x:c>
      <x:c r="I53" s="22" t="str">
        <x:v>https://city-tampa.opendata.arcgis.com/</x:v>
      </x:c>
      <x:c r="J53" s="4" t="str"/>
      <x:c r="K53" s="22" t="str">
        <x:v>https://city-tampa.opendata.arcgis.com/</x:v>
      </x:c>
      <x:c r="L53" s="22" t="str">
        <x:v>https://en.wikipedia.org/wiki/List_of_United_States_cities_by_population</x:v>
      </x:c>
      <x:c r="M53" s="4" t="str">
        <x:v>2026-10-07</x:v>
      </x:c>
    </x:row>
    <x:row r="54" ht="64" customHeight="1">
      <x:c r="A54" s="4" t="str">
        <x:v>Aurora</x:v>
      </x:c>
      <x:c r="B54" s="4" t="str">
        <x:v>CO</x:v>
      </x:c>
      <x:c r="C54" s="4" t="str">
        <x:v>Top 50 city proper</x:v>
      </x:c>
      <x:c r="D54" s="4" t="n">
        <x:f>COUNTIF(Datasets!$B$5:$B$102,A54)</x:f>
        <x:v>1</x:v>
      </x:c>
      <x:c r="E54" s="4" t="n">
        <x:f>COUNTIFS(Datasets!$B$5:$B$102,A54,Datasets!$G$5:$G$102,"A")</x:f>
        <x:v>0</x:v>
      </x:c>
      <x:c r="F54" s="4" t="n">
        <x:f>COUNTIFS(Datasets!$B$5:$B$102,A54,Datasets!$G$5:$G$102,"B")</x:f>
        <x:v>0</x:v>
      </x:c>
      <x:c r="G54" s="4" t="n">
        <x:f>COUNTIFS(Datasets!$B$5:$B$102,A54,Datasets!$G$5:$G$102,"C")</x:f>
        <x:v>1</x:v>
      </x:c>
      <x:c r="H54" s="4" t="str">
        <x:v>ArcGIS Hub</x:v>
      </x:c>
      <x:c r="I54" s="22" t="str">
        <x:v>https://data-auroraco.opendata.arcgis.com/</x:v>
      </x:c>
      <x:c r="J54" s="4" t="str"/>
      <x:c r="K54" s="22" t="str">
        <x:v>https://data-auroraco.opendata.arcgis.com/</x:v>
      </x:c>
      <x:c r="L54" s="22" t="str">
        <x:v>https://en.wikipedia.org/wiki/List_of_United_States_cities_by_population</x:v>
      </x:c>
      <x:c r="M54" s="4" t="str">
        <x:v>2026-10-07</x:v>
      </x:c>
    </x:row>
    <x:row r="55" ht="64" customHeight="1">
      <x:c r="A55" s="4" t="str">
        <x:v>Pittsburgh</x:v>
      </x:c>
      <x:c r="B55" s="4" t="str">
        <x:v>PA</x:v>
      </x:c>
      <x:c r="C55" s="4" t="str">
        <x:v>Additional regional hub</x:v>
      </x:c>
      <x:c r="D55" s="4" t="n">
        <x:f>COUNTIF(Datasets!$B$5:$B$102,A55)</x:f>
        <x:v>1</x:v>
      </x:c>
      <x:c r="E55" s="4" t="n">
        <x:f>COUNTIFS(Datasets!$B$5:$B$102,A55,Datasets!$G$5:$G$102,"A")</x:f>
        <x:v>1</x:v>
      </x:c>
      <x:c r="F55" s="4" t="n">
        <x:f>COUNTIFS(Datasets!$B$5:$B$102,A55,Datasets!$G$5:$G$102,"B")</x:f>
        <x:v>0</x:v>
      </x:c>
      <x:c r="G55" s="4" t="n">
        <x:f>COUNTIFS(Datasets!$B$5:$B$102,A55,Datasets!$G$5:$G$102,"C")</x:f>
        <x:v>0</x:v>
      </x:c>
      <x:c r="H55" s="4" t="str">
        <x:v>CKAN</x:v>
      </x:c>
      <x:c r="I55" s="22" t="str">
        <x:v>https://data.wprdc.org/</x:v>
      </x:c>
      <x:c r="J55" s="4" t="str">
        <x:v>Regional portal; catalog entries explicitly identify City of Pittsburgh data.</x:v>
      </x:c>
      <x:c r="K55" s="22" t="str">
        <x:v>https://data.wprdc.org/</x:v>
      </x:c>
      <x:c r="L55" s="22" t="str">
        <x:v>Selected regional hub</x:v>
      </x:c>
      <x:c r="M55" s="4" t="str">
        <x:v>2026-10-07</x:v>
      </x:c>
    </x:row>
    <x:row r="56" ht="64" customHeight="1">
      <x:c r="A56" s="4" t="str">
        <x:v>Cincinnati</x:v>
      </x:c>
      <x:c r="B56" s="4" t="str">
        <x:v>OH</x:v>
      </x:c>
      <x:c r="C56" s="4" t="str">
        <x:v>Additional regional hub</x:v>
      </x:c>
      <x:c r="D56" s="4" t="n">
        <x:f>COUNTIF(Datasets!$B$5:$B$102,A56)</x:f>
        <x:v>1</x:v>
      </x:c>
      <x:c r="E56" s="4" t="n">
        <x:f>COUNTIFS(Datasets!$B$5:$B$102,A56,Datasets!$G$5:$G$102,"A")</x:f>
        <x:v>0</x:v>
      </x:c>
      <x:c r="F56" s="4" t="n">
        <x:f>COUNTIFS(Datasets!$B$5:$B$102,A56,Datasets!$G$5:$G$102,"B")</x:f>
        <x:v>1</x:v>
      </x:c>
      <x:c r="G56" s="4" t="n">
        <x:f>COUNTIFS(Datasets!$B$5:$B$102,A56,Datasets!$G$5:$G$102,"C")</x:f>
        <x:v>0</x:v>
      </x:c>
      <x:c r="H56" s="4" t="str">
        <x:v>Socrata</x:v>
      </x:c>
      <x:c r="I56" s="22" t="str">
        <x:v>https://data.cincinnati-oh.gov/</x:v>
      </x:c>
      <x:c r="J56" s="4" t="str"/>
      <x:c r="K56" s="22" t="str">
        <x:v>https://data.cincinnati-oh.gov/</x:v>
      </x:c>
      <x:c r="L56" s="22" t="str">
        <x:v>Selected regional hub</x:v>
      </x:c>
      <x:c r="M56" s="4" t="str">
        <x:v>2026-10-07</x:v>
      </x:c>
    </x:row>
    <x:row r="57" ht="64" customHeight="1">
      <x:c r="A57" s="4" t="str">
        <x:v>Buffalo</x:v>
      </x:c>
      <x:c r="B57" s="4" t="str">
        <x:v>NY</x:v>
      </x:c>
      <x:c r="C57" s="4" t="str">
        <x:v>Additional regional hub</x:v>
      </x:c>
      <x:c r="D57" s="4" t="n">
        <x:f>COUNTIF(Datasets!$B$5:$B$102,A57)</x:f>
        <x:v>1</x:v>
      </x:c>
      <x:c r="E57" s="4" t="n">
        <x:f>COUNTIFS(Datasets!$B$5:$B$102,A57,Datasets!$G$5:$G$102,"A")</x:f>
        <x:v>0</x:v>
      </x:c>
      <x:c r="F57" s="4" t="n">
        <x:f>COUNTIFS(Datasets!$B$5:$B$102,A57,Datasets!$G$5:$G$102,"B")</x:f>
        <x:v>1</x:v>
      </x:c>
      <x:c r="G57" s="4" t="n">
        <x:f>COUNTIFS(Datasets!$B$5:$B$102,A57,Datasets!$G$5:$G$102,"C")</x:f>
        <x:v>0</x:v>
      </x:c>
      <x:c r="H57" s="4" t="str">
        <x:v>Socrata</x:v>
      </x:c>
      <x:c r="I57" s="22" t="str">
        <x:v>https://data.buffalony.gov/</x:v>
      </x:c>
      <x:c r="J57" s="4" t="str"/>
      <x:c r="K57" s="22" t="str">
        <x:v>https://data.buffalony.gov/</x:v>
      </x:c>
      <x:c r="L57" s="22" t="str">
        <x:v>Selected regional hub</x:v>
      </x:c>
      <x:c r="M57" s="4" t="str">
        <x:v>2026-10-07</x:v>
      </x:c>
    </x:row>
    <x:row r="58" ht="64" customHeight="1">
      <x:c r="A58" s="4" t="str">
        <x:v>New Orleans</x:v>
      </x:c>
      <x:c r="B58" s="4" t="str">
        <x:v>LA</x:v>
      </x:c>
      <x:c r="C58" s="4" t="str">
        <x:v>Additional regional hub</x:v>
      </x:c>
      <x:c r="D58" s="4" t="n">
        <x:f>COUNTIF(Datasets!$B$5:$B$102,A58)</x:f>
        <x:v>3</x:v>
      </x:c>
      <x:c r="E58" s="4" t="n">
        <x:f>COUNTIFS(Datasets!$B$5:$B$102,A58,Datasets!$G$5:$G$102,"A")</x:f>
        <x:v>1</x:v>
      </x:c>
      <x:c r="F58" s="4" t="n">
        <x:f>COUNTIFS(Datasets!$B$5:$B$102,A58,Datasets!$G$5:$G$102,"B")</x:f>
        <x:v>2</x:v>
      </x:c>
      <x:c r="G58" s="4" t="n">
        <x:f>COUNTIFS(Datasets!$B$5:$B$102,A58,Datasets!$G$5:$G$102,"C")</x:f>
        <x:v>0</x:v>
      </x:c>
      <x:c r="H58" s="4" t="str">
        <x:v>Socrata</x:v>
      </x:c>
      <x:c r="I58" s="22" t="str">
        <x:v>https://data.nola.gov/</x:v>
      </x:c>
      <x:c r="J58" s="4" t="str"/>
      <x:c r="K58" s="22" t="str">
        <x:v>https://data.nola.gov/</x:v>
      </x:c>
      <x:c r="L58" s="22" t="str">
        <x:v>Selected regional hub</x:v>
      </x:c>
      <x:c r="M58" s="4" t="str">
        <x:v>2026-10-07</x:v>
      </x:c>
    </x:row>
    <x:row r="59" ht="64" customHeight="1">
      <x:c r="A59" s="4" t="str">
        <x:v>Honolulu</x:v>
      </x:c>
      <x:c r="B59" s="4" t="str">
        <x:v>HI</x:v>
      </x:c>
      <x:c r="C59" s="4" t="str">
        <x:v>Additional regional hub</x:v>
      </x:c>
      <x:c r="D59" s="4" t="n">
        <x:f>COUNTIF(Datasets!$B$5:$B$102,A59)</x:f>
        <x:v>1</x:v>
      </x:c>
      <x:c r="E59" s="4" t="n">
        <x:f>COUNTIFS(Datasets!$B$5:$B$102,A59,Datasets!$G$5:$G$102,"A")</x:f>
        <x:v>0</x:v>
      </x:c>
      <x:c r="F59" s="4" t="n">
        <x:f>COUNTIFS(Datasets!$B$5:$B$102,A59,Datasets!$G$5:$G$102,"B")</x:f>
        <x:v>1</x:v>
      </x:c>
      <x:c r="G59" s="4" t="n">
        <x:f>COUNTIFS(Datasets!$B$5:$B$102,A59,Datasets!$G$5:$G$102,"C")</x:f>
        <x:v>0</x:v>
      </x:c>
      <x:c r="H59" s="4" t="str">
        <x:v>Socrata</x:v>
      </x:c>
      <x:c r="I59" s="22" t="str">
        <x:v>https://data.honolulu.gov/</x:v>
      </x:c>
      <x:c r="J59" s="4" t="str">
        <x:v>City and County of Honolulu data can cover all Oahu; not only the Urban Honolulu CDP.</x:v>
      </x:c>
      <x:c r="K59" s="22" t="str">
        <x:v>https://data.honolulu.gov/</x:v>
      </x:c>
      <x:c r="L59" s="22" t="str">
        <x:v>Selected regional hub</x:v>
      </x:c>
      <x:c r="M59" s="4" t="str">
        <x:v>2026-10-07</x:v>
      </x:c>
    </x:row>
    <x:row r="60" ht="64" customHeight="1">
      <x:c r="A60" s="4" t="str">
        <x:v>Orlando</x:v>
      </x:c>
      <x:c r="B60" s="4" t="str">
        <x:v>FL</x:v>
      </x:c>
      <x:c r="C60" s="4" t="str">
        <x:v>Additional regional hub</x:v>
      </x:c>
      <x:c r="D60" s="4" t="n">
        <x:f>COUNTIF(Datasets!$B$5:$B$102,A60)</x:f>
        <x:v>1</x:v>
      </x:c>
      <x:c r="E60" s="4" t="n">
        <x:f>COUNTIFS(Datasets!$B$5:$B$102,A60,Datasets!$G$5:$G$102,"A")</x:f>
        <x:v>0</x:v>
      </x:c>
      <x:c r="F60" s="4" t="n">
        <x:f>COUNTIFS(Datasets!$B$5:$B$102,A60,Datasets!$G$5:$G$102,"B")</x:f>
        <x:v>1</x:v>
      </x:c>
      <x:c r="G60" s="4" t="n">
        <x:f>COUNTIFS(Datasets!$B$5:$B$102,A60,Datasets!$G$5:$G$102,"C")</x:f>
        <x:v>0</x:v>
      </x:c>
      <x:c r="H60" s="4" t="str">
        <x:v>Socrata</x:v>
      </x:c>
      <x:c r="I60" s="22" t="str">
        <x:v>https://data.cityoforlando.net/</x:v>
      </x:c>
      <x:c r="J60" s="4" t="str">
        <x:v>City jurisdiction; not all Orange County.</x:v>
      </x:c>
      <x:c r="K60" s="22" t="str">
        <x:v>https://data.cityoforlando.net/</x:v>
      </x:c>
      <x:c r="L60" s="22" t="str">
        <x:v>Selected regional hub</x:v>
      </x:c>
      <x:c r="M60" s="4" t="str">
        <x:v>2026-10-07</x:v>
      </x:c>
    </x:row>
    <x:row r="61" ht="64" customHeight="1">
      <x:c r="A61" s="4" t="str">
        <x:v>Cleveland</x:v>
      </x:c>
      <x:c r="B61" s="4" t="str">
        <x:v>OH</x:v>
      </x:c>
      <x:c r="C61" s="4" t="str">
        <x:v>Additional regional hub</x:v>
      </x:c>
      <x:c r="D61" s="4" t="n">
        <x:f>COUNTIF(Datasets!$B$5:$B$102,A61)</x:f>
        <x:v>2</x:v>
      </x:c>
      <x:c r="E61" s="4" t="n">
        <x:f>COUNTIFS(Datasets!$B$5:$B$102,A61,Datasets!$G$5:$G$102,"A")</x:f>
        <x:v>0</x:v>
      </x:c>
      <x:c r="F61" s="4" t="n">
        <x:f>COUNTIFS(Datasets!$B$5:$B$102,A61,Datasets!$G$5:$G$102,"B")</x:f>
        <x:v>0</x:v>
      </x:c>
      <x:c r="G61" s="4" t="n">
        <x:f>COUNTIFS(Datasets!$B$5:$B$102,A61,Datasets!$G$5:$G$102,"C")</x:f>
        <x:v>2</x:v>
      </x:c>
      <x:c r="H61" s="4" t="str">
        <x:v>ArcGIS Hub</x:v>
      </x:c>
      <x:c r="I61" s="22" t="str">
        <x:v>https://data.clevelandohio.gov/</x:v>
      </x:c>
      <x:c r="J61" s="4" t="str"/>
      <x:c r="K61" s="22" t="str">
        <x:v>https://data.clevelandohio.gov/</x:v>
      </x:c>
      <x:c r="L61" s="22" t="str">
        <x:v>Selected regional hub</x:v>
      </x:c>
      <x:c r="M61" s="4" t="str">
        <x:v>2026-10-07</x:v>
      </x:c>
    </x:row>
    <x:row r="62" ht="64" customHeight="1">
      <x:c r="A62" s="4" t="str">
        <x:v>St. Louis</x:v>
      </x:c>
      <x:c r="B62" s="4" t="str">
        <x:v>MO</x:v>
      </x:c>
      <x:c r="C62" s="4" t="str">
        <x:v>Additional regional hub</x:v>
      </x:c>
      <x:c r="D62" s="4" t="n">
        <x:f>COUNTIF(Datasets!$B$5:$B$102,A62)</x:f>
        <x:v>1</x:v>
      </x:c>
      <x:c r="E62" s="4" t="n">
        <x:f>COUNTIFS(Datasets!$B$5:$B$102,A62,Datasets!$G$5:$G$102,"A")</x:f>
        <x:v>1</x:v>
      </x:c>
      <x:c r="F62" s="4" t="n">
        <x:f>COUNTIFS(Datasets!$B$5:$B$102,A62,Datasets!$G$5:$G$102,"B")</x:f>
        <x:v>0</x:v>
      </x:c>
      <x:c r="G62" s="4" t="n">
        <x:f>COUNTIFS(Datasets!$B$5:$B$102,A62,Datasets!$G$5:$G$102,"C")</x:f>
        <x:v>0</x:v>
      </x:c>
      <x:c r="H62" s="4" t="str">
        <x:v>Direct files / municipal portal</x:v>
      </x:c>
      <x:c r="I62" s="22" t="str">
        <x:v>https://www.stlouis-mo.gov/data/index.cfm</x:v>
      </x:c>
      <x:c r="J62" s="4" t="str">
        <x:v>St. Louis city is separate from St. Louis County.</x:v>
      </x:c>
      <x:c r="K62" s="22" t="str">
        <x:v>https://www.stlouis-mo.gov/data/index.cfm</x:v>
      </x:c>
      <x:c r="L62" s="22" t="str">
        <x:v>Selected regional hub</x:v>
      </x:c>
      <x:c r="M62" s="4" t="str">
        <x:v>2026-10-07</x:v>
      </x:c>
    </x:row>
    <x:row r="63" ht="64" customHeight="1">
      <x:c r="A63" s="4" t="str">
        <x:v>Salt Lake City</x:v>
      </x:c>
      <x:c r="B63" s="4" t="str">
        <x:v>UT</x:v>
      </x:c>
      <x:c r="C63" s="4" t="str">
        <x:v>Additional regional hub</x:v>
      </x:c>
      <x:c r="D63" s="4" t="n">
        <x:f>COUNTIF(Datasets!$B$5:$B$102,A63)</x:f>
        <x:v>1</x:v>
      </x:c>
      <x:c r="E63" s="4" t="n">
        <x:f>COUNTIFS(Datasets!$B$5:$B$102,A63,Datasets!$G$5:$G$102,"A")</x:f>
        <x:v>1</x:v>
      </x:c>
      <x:c r="F63" s="4" t="n">
        <x:f>COUNTIFS(Datasets!$B$5:$B$102,A63,Datasets!$G$5:$G$102,"B")</x:f>
        <x:v>0</x:v>
      </x:c>
      <x:c r="G63" s="4" t="n">
        <x:f>COUNTIFS(Datasets!$B$5:$B$102,A63,Datasets!$G$5:$G$102,"C")</x:f>
        <x:v>0</x:v>
      </x:c>
      <x:c r="H63" s="4" t="str">
        <x:v>ArcGIS REST / municipal portal</x:v>
      </x:c>
      <x:c r="I63" s="22" t="str">
        <x:v>https://data.slc.gov/</x:v>
      </x:c>
      <x:c r="J63" s="4" t="str"/>
      <x:c r="K63" s="22" t="str">
        <x:v>https://data.slc.gov/</x:v>
      </x:c>
      <x:c r="L63" s="22" t="str">
        <x:v>Selected regional hub</x:v>
      </x:c>
      <x:c r="M63" s="4" t="str">
        <x:v>2026-10-07</x:v>
      </x:c>
    </x:row>
    <x:row r="64" ht="64" customHeight="1">
      <x:c r="A64" s="4" t="str">
        <x:v>Richmond</x:v>
      </x:c>
      <x:c r="B64" s="4" t="str">
        <x:v>VA</x:v>
      </x:c>
      <x:c r="C64" s="4" t="str">
        <x:v>Additional regional hub</x:v>
      </x:c>
      <x:c r="D64" s="4" t="n">
        <x:f>COUNTIF(Datasets!$B$5:$B$102,A64)</x:f>
        <x:v>2</x:v>
      </x:c>
      <x:c r="E64" s="4" t="n">
        <x:f>COUNTIFS(Datasets!$B$5:$B$102,A64,Datasets!$G$5:$G$102,"A")</x:f>
        <x:v>0</x:v>
      </x:c>
      <x:c r="F64" s="4" t="n">
        <x:f>COUNTIFS(Datasets!$B$5:$B$102,A64,Datasets!$G$5:$G$102,"B")</x:f>
        <x:v>2</x:v>
      </x:c>
      <x:c r="G64" s="4" t="n">
        <x:f>COUNTIFS(Datasets!$B$5:$B$102,A64,Datasets!$G$5:$G$102,"C")</x:f>
        <x:v>0</x:v>
      </x:c>
      <x:c r="H64" s="4" t="str">
        <x:v>Socrata</x:v>
      </x:c>
      <x:c r="I64" s="22" t="str">
        <x:v>https://data.richmondgov.com/</x:v>
      </x:c>
      <x:c r="J64" s="4" t="str"/>
      <x:c r="K64" s="22" t="str">
        <x:v>https://data.richmondgov.com/</x:v>
      </x:c>
      <x:c r="L64" s="22" t="str">
        <x:v>Selected regional hub</x:v>
      </x:c>
      <x:c r="M64" s="4" t="str">
        <x:v>2026-10-07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5073aef4df849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52" hidden="0" customWidth="1"/>
    <x:col min="4" max="4" width="64" hidden="0" customWidth="1"/>
    <x:col min="5" max="5" width="52" hidden="0" customWidth="1"/>
  </x:cols>
  <x:sheetData>
    <x:row r="1" ht="28" customHeight="1">
      <x:c r="A1" s="9" t="str">
        <x:v>Access and verification guide</x:v>
      </x:c>
      <x:c r="B1" s="9"/>
      <x:c r="C1" s="9"/>
      <x:c r="D1" s="9"/>
      <x:c r="E1" s="9"/>
    </x:row>
    <x:row r="2" ht="24" customHeight="1">
      <x:c r="A2" s="13" t="str">
        <x:v>The data catalog is machine readable. Downloading source observations may require pagination, resource selection or an application token.</x:v>
      </x:c>
      <x:c r="B2" s="13"/>
      <x:c r="C2" s="13"/>
      <x:c r="D2" s="13"/>
      <x:c r="E2" s="13"/>
    </x:row>
    <x:row r="3">
      <x:c r="A3" s="4"/>
      <x:c r="B3" s="4"/>
      <x:c r="C3" s="4"/>
      <x:c r="D3" s="4"/>
      <x:c r="E3" s="4"/>
    </x:row>
    <x:row r="4" ht="32" customHeight="1">
      <x:c r="A4" s="18" t="str">
        <x:v>System</x:v>
      </x:c>
      <x:c r="B4" s="18" t="str">
        <x:v>Format Or Path</x:v>
      </x:c>
      <x:c r="C4" s="18" t="str">
        <x:v>What It Means</x:v>
      </x:c>
      <x:c r="D4" s="18" t="str">
        <x:v>How To Use</x:v>
      </x:c>
      <x:c r="E4" s="18" t="str">
        <x:v>Reference Url</x:v>
      </x:c>
    </x:row>
    <x:row r="5" ht="100" customHeight="1">
      <x:c r="A5" s="4" t="str">
        <x:v>Access tier A</x:v>
      </x:c>
      <x:c r="B5" s="4" t="str">
        <x:v>Published file or resolved layer URL</x:v>
      </x:c>
      <x:c r="C5" s="4" t="str">
        <x:v>A URL appears in publisher/registry metadata, or a layer API is identified. This is not a successful payload test.</x:v>
      </x:c>
      <x:c r="D5" s="4" t="str">
        <x:v>Use download_url for files; api_url can be a layer endpoint requiring /query.</x:v>
      </x:c>
      <x:c r="E5" s="4" t="str"/>
    </x:row>
    <x:row r="6" ht="100" customHeight="1">
      <x:c r="A6" s="4" t="str">
        <x:v>Access tier B</x:v>
      </x:c>
      <x:c r="B6" s="4" t="str">
        <x:v>Constructed platform endpoint</x:v>
      </x:c>
      <x:c r="C6" s="4" t="str">
        <x:v>Dataset ID was identified. A conventional Socrata or Opendatasoft export/API URL was constructed from it.</x:v>
      </x:c>
      <x:c r="D6" s="4" t="str">
        <x:v>Try the endpoint, check HTTP status and content type, and fall back to landing_url if its API version has changed.</x:v>
      </x:c>
      <x:c r="E6" s="4" t="str"/>
    </x:row>
    <x:row r="7" ht="100" customHeight="1">
      <x:c r="A7" s="4" t="str">
        <x:v>Access tier C</x:v>
      </x:c>
      <x:c r="B7" s="4" t="str">
        <x:v>Choose the export or resource</x:v>
      </x:c>
      <x:c r="C7" s="4" t="str">
        <x:v>An actual dataset page is identified, but a final file/query URL was not resolved. ArcGIS export formats are conditional.</x:v>
      </x:c>
      <x:c r="D7" s="4" t="str">
        <x:v>Open landing_url and select CSV/GeoJSON or the layer API. CKAN package_show is metadata: follow resources[].url for row data.</x:v>
      </x:c>
      <x:c r="E7" s="4" t="str">
        <x:v>https://docs.ckan.org/en/latest/api/index.html</x:v>
      </x:c>
    </x:row>
    <x:row r="8" ht="100" customHeight="1">
      <x:c r="A8" s="4" t="str">
        <x:v>Socrata</x:v>
      </x:c>
      <x:c r="B8" s="4" t="str">
        <x:v>CSV and JSON</x:v>
      </x:c>
      <x:c r="C8" s="4" t="str">
        <x:v>Catalog includes legacy resource/rows URLs and some published SODA3 exports. API generations have different access requirements.</x:v>
      </x:c>
      <x:c r="D8" s="4" t="str">
        <x:v>Current SODA3 queries require a valid application token or user authentication. Follow current docs rather than assuming anonymous API access.</x:v>
      </x:c>
      <x:c r="E8" s="4" t="str">
        <x:v>https://dev.socrata.com/docs/queries/</x:v>
      </x:c>
    </x:row>
    <x:row r="9" ht="100" customHeight="1">
      <x:c r="A9" s="4" t="str">
        <x:v>ArcGIS</x:v>
      </x:c>
      <x:c r="B9" s="4" t="str">
        <x:v>JSON and spatial GeoJSON</x:v>
      </x:c>
      <x:c r="C9" s="4" t="str">
        <x:v>CSV/GeoJSON downloads depend on layer capabilities and export settings. Nonspatial tables do not have geometry.</x:v>
      </x:c>
      <x:c r="D9" s="4" t="str">
        <x:v>Inspect layer metadata, then /query. Request outSR=4326 for WGS84. Honor record limits and pagination; one response may be truncated.</x:v>
      </x:c>
      <x:c r="E9" s="4" t="str">
        <x:v>https://developers.arcgis.com/rest/services-reference/enterprise/query-feature-service-layer/</x:v>
      </x:c>
    </x:row>
    <x:row r="10" ht="100" customHeight="1">
      <x:c r="A10" s="4" t="str">
        <x:v>CKAN</x:v>
      </x:c>
      <x:c r="B10" s="4" t="str">
        <x:v>Resource files / metadata JSON</x:v>
      </x:c>
      <x:c r="C10" s="4" t="str">
        <x:v>A dataset can contain separate years or multiple formats. Its catalog API is not the underlying data.</x:v>
      </x:c>
      <x:c r="D10" s="4" t="str">
        <x:v>Use package_show to discover resources, choose the needed resource format and coverage, then download the published resource URL.</x:v>
      </x:c>
      <x:c r="E10" s="4" t="str">
        <x:v>https://docs.ckan.org/en/latest/api/index.html</x:v>
      </x:c>
    </x:row>
    <x:row r="11" ht="100" customHeight="1">
      <x:c r="A11" s="4" t="str">
        <x:v>Opendatasoft</x:v>
      </x:c>
      <x:c r="B11" s="4" t="str">
        <x:v>CSV / JSON exports</x:v>
      </x:c>
      <x:c r="C11" s="4" t="str">
        <x:v>The catalog's Long Beach URLs use standard Explore API patterns built from the dataset identifier.</x:v>
      </x:c>
      <x:c r="D11" s="4" t="str">
        <x:v>Use an export for a whole dataset; record queries have pagination and limits. Check the publisher's current API/version settings.</x:v>
      </x:c>
      <x:c r="E11" s="4" t="str">
        <x:v>https://help.opendatasoft.com/apis/ods-explore-v2/</x:v>
      </x:c>
    </x:row>
    <x:row r="12" ht="100" customHeight="1">
      <x:c r="A12" s="4" t="str">
        <x:v>GTFS</x:v>
      </x:c>
      <x:c r="B12" s="4" t="str">
        <x:v>ZIP of CSV-formatted TXT tables</x:v>
      </x:c>
      <x:c r="C12" s="4" t="str">
        <x:v>Static transit schedules are relational text tables packaged in a ZIP, not a spreadsheet workbook.</x:v>
      </x:c>
      <x:c r="D12" s="4" t="str">
        <x:v>Read routes.txt, stops.txt, trips.txt and stop_times.txt. Check calendar validity; service times can exceed 24:00:00.</x:v>
      </x:c>
      <x:c r="E12" s="4" t="str">
        <x:v>https://gtfs.org/documentation/schedule/reference/</x:v>
      </x:c>
    </x:row>
    <x:row r="13" ht="100" customHeight="1">
      <x:c r="A13" s="4" t="str">
        <x:v>Coverage</x:v>
      </x:c>
      <x:c r="B13" s="4" t="str">
        <x:v>Geography and time</x:v>
      </x:c>
      <x:c r="C13" s="4" t="str">
        <x:v>County, city and transit-service coverage are not interchangeable. Dataset reporting definitions also differ.</x:v>
      </x:c>
      <x:c r="D13" s="4" t="str">
        <x:v>Check geographic_coverage, series_status and notes before joining data across cities or across reporting-system transitions.</x:v>
      </x:c>
      <x:c r="E13" s="4" t="str"/>
    </x:row>
    <x:row r="14" ht="100" customHeight="1">
      <x:c r="A14" s="4" t="str">
        <x:v>Verification</x:v>
      </x:c>
      <x:c r="B14" s="4" t="str">
        <x:v>Metadata review only</x:v>
      </x:c>
      <x:c r="C14" s="4" t="str">
        <x:v>No source dataset payload was downloaded or parsed. An accessible listing is not a guarantee of a working anonymous download.</x:v>
      </x:c>
      <x:c r="D14" s="4" t="str">
        <x:v>Validate HTTP status, content type, schema, row count, time range and license before automating. checked_date is the research date.</x:v>
      </x:c>
      <x:c r="E14" s="4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e9b720bd1eb4ba8"/>
  </x:tableParts>
</x:worksheet>
</file>