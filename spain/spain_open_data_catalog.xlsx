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96da95374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ba38d89827541a3"/>
    <x:sheet xmlns:r="http://schemas.openxmlformats.org/officeDocument/2006/relationships" name="Cities" sheetId="2" r:id="R320ee6f810ea4376"/>
    <x:sheet xmlns:r="http://schemas.openxmlformats.org/officeDocument/2006/relationships" name="Datasets" sheetId="3" r:id="R2b3ef4e7117145f7"/>
    <x:sheet xmlns:r="http://schemas.openxmlformats.org/officeDocument/2006/relationships" name="Access" sheetId="4" r:id="R201df95c20644bd6"/>
    <x:sheet xmlns:r="http://schemas.openxmlformats.org/officeDocument/2006/relationships" name="Discovery" sheetId="5" r:id="R644d36e0edfd42a8"/>
    <x:sheet xmlns:r="http://schemas.openxmlformats.org/officeDocument/2006/relationships" name="Guide" sheetId="6" r:id="R5d96045b938e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53747"/>
      <x:name val="Calibri"/>
    </x:font>
    <x:font>
      <x:b/>
      <x:sz val="10"/>
      <x:color rgb="FFFFFFFF"/>
      <x:name val="Calibri"/>
    </x:font>
    <x:font>
      <x:sz val="11"/>
      <x:color rgb="FF253747"/>
      <x:name val="Calibri"/>
    </x:font>
    <x:font>
      <x:b/>
      <x:sz val="21"/>
      <x:color rgb="FFFFFFFF"/>
      <x:name val="Calibri"/>
    </x:font>
    <x:font>
      <x:sz val="10"/>
      <x:color rgb="FF486273"/>
      <x:name val="Calibri"/>
    </x:font>
    <x:font>
      <x:b/>
      <x:sz val="18"/>
      <x:color rgb="FF0F766E"/>
      <x:name val="Calibri"/>
    </x:font>
    <x:font>
      <x:sz val="11"/>
      <x:color rgb="FF624A13"/>
      <x:name val="Calibri"/>
    </x:font>
    <x:font>
      <x:b/>
      <x:sz val="11"/>
      <x:color rgb="FF0F766E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53449"/>
      </x:patternFill>
    </x:fill>
    <x:fill>
      <x:patternFill patternType="solid">
        <x:fgColor rgb="FFF1F6F8"/>
      </x:patternFill>
    </x:fill>
    <x:fill>
      <x:patternFill patternType="solid">
        <x:fgColor rgb="FFFFF1D6"/>
      </x:patternFill>
    </x:fill>
    <x:fill>
      <x:patternFill patternType="solid">
        <x:fgColor rgb="FFE8F2F3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7432220a64b70" /><Relationship Type="http://schemas.openxmlformats.org/officeDocument/2006/relationships/theme" Target="/xl/theme/theme1.xml" Id="R5c0cec0e915d4268" /><Relationship Type="http://schemas.openxmlformats.org/officeDocument/2006/relationships/sharedStrings" Target="/xl/sharedStrings.xml" Id="R18a57870293a4153" /><Relationship Type="http://schemas.openxmlformats.org/officeDocument/2006/relationships/worksheet" Target="/xl/worksheets/sheet1.xml" Id="Rcba38d89827541a3" /><Relationship Type="http://schemas.openxmlformats.org/officeDocument/2006/relationships/worksheet" Target="/xl/worksheets/sheet2.xml" Id="R320ee6f810ea4376" /><Relationship Type="http://schemas.openxmlformats.org/officeDocument/2006/relationships/worksheet" Target="/xl/worksheets/sheet3.xml" Id="R2b3ef4e7117145f7" /><Relationship Type="http://schemas.openxmlformats.org/officeDocument/2006/relationships/worksheet" Target="/xl/worksheets/sheet4.xml" Id="R201df95c20644bd6" /><Relationship Type="http://schemas.openxmlformats.org/officeDocument/2006/relationships/worksheet" Target="/xl/worksheets/sheet5.xml" Id="R644d36e0edfd42a8" /><Relationship Type="http://schemas.openxmlformats.org/officeDocument/2006/relationships/worksheet" Target="/xl/worksheets/sheet6.xml" Id="R5d96045b938e4bbd" /></Relationships>
</file>

<file path=xl/tables/table1.xml><?xml version="1.0" encoding="utf-8"?>
<x:table xmlns:x="http://schemas.openxmlformats.org/spreadsheetml/2006/main" id="1" name="CitiesTable" displayName="CitiesTable" ref="A1:I75" headerRowCount="1" totalsRowCount="0" totalsRowShown="0">
  <x:tableColumns count="9">
    <x:tableColumn id="1" name="City ID"/>
    <x:tableColumn id="2" name="City"/>
    <x:tableColumn id="3" name="Autonomous community"/>
    <x:tableColumn id="4" name="Coverage classification"/>
    <x:tableColumn id="5" name="Dataset IDs"/>
    <x:tableColumn id="6" name="Portal / directory URL"/>
    <x:tableColumn id="7" name="Portal verification"/>
    <x:tableColumn id="8" name="Coverage notes"/>
    <x:tableColumn id="9" name="Primary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sTable" displayName="DatasetsTable" ref="A1:L35" headerRowCount="1" totalsRowCount="0" totalsRowShown="0">
  <x:tableColumns count="12">
    <x:tableColumn id="1" name="Dataset ID"/>
    <x:tableColumn id="2" name="Dataset title"/>
    <x:tableColumn id="3" name="Geographic scope"/>
    <x:tableColumn id="4" name="Publisher level"/>
    <x:tableColumn id="5" name="Topic"/>
    <x:tableColumn id="6" name="Formats"/>
    <x:tableColumn id="7" name="Priority"/>
    <x:tableColumn id="8" name="License"/>
    <x:tableColumn id="9" name="License evidence"/>
    <x:tableColumn id="10" name="Freshness / update notes"/>
    <x:tableColumn id="11" name="Use and access notes"/>
    <x:tableColumn id="12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ssTable" displayName="AccessTable" ref="A1:H35" headerRowCount="1" totalsRowCount="0" totalsRowShown="0">
  <x:tableColumns count="8">
    <x:tableColumn id="1" name="Dataset ID"/>
    <x:tableColumn id="2" name="Dataset title"/>
    <x:tableColumn id="3" name="Direct data URL"/>
    <x:tableColumn id="4" name="Data API URL"/>
    <x:tableColumn id="5" name="Dataset landing URL"/>
    <x:tableColumn id="6" name="Resource verification"/>
    <x:tableColumn id="7" name="Format evidence"/>
    <x:tableColumn id="8" name="City filter instruc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scoveryTable" displayName="DiscoveryTable" ref="A1:F8" headerRowCount="1" totalsRowCount="0" totalsRowShown="0">
  <x:tableColumns count="6">
    <x:tableColumn id="1" name="Source"/>
    <x:tableColumn id="2" name="Purpose"/>
    <x:tableColumn id="3" name="Portal / documentation URL"/>
    <x:tableColumn id="4" name="Discovery API URL"/>
    <x:tableColumn id="5" name="Notes"/>
    <x:tableColumn id="6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uideTable" displayName="GuideTable" ref="A1:C18" headerRowCount="1" totalsRowCount="0" totalsRowShown="0">
  <x:tableColumns count="3">
    <x:tableColumn id="1" name="Item"/>
    <x:tableColumn id="2" name="Guidance"/>
    <x:tableColumn id="3" name="Refer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69a6369ac04b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3cccda2a3449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9cfafaaabd41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f767c2e1664e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e9a2c6d8be4bb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2" customHeight="1">
      <x:c r="A1" s="23" t="str">
        <x:v>SPAIN  |  CITY OPEN DATA</x:v>
      </x:c>
      <x:c r="B1" s="23"/>
      <x:c r="C1" s="23"/>
      <x:c r="D1" s="23"/>
      <x:c r="E1" s="23"/>
      <x:c r="F1" s="23"/>
      <x:c r="G1" s="23"/>
      <x:c r="H1" s="23"/>
    </x:row>
    <x:row r="2" ht="32" customHeight="1">
      <x:c r="A2" s="26" t="str">
        <x:v>Research checked 7 October 2026 • Municipality-level catalog • CSV, JSON, GeoJSON and structured transport feeds</x:v>
      </x:c>
      <x:c r="B2" s="26"/>
      <x:c r="C2" s="26"/>
      <x:c r="D2" s="26"/>
      <x:c r="E2" s="26"/>
      <x:c r="F2" s="26"/>
      <x:c r="G2" s="26"/>
      <x:c r="H2" s="26"/>
    </x:row>
    <x:row r="3" ht="24" customHeight="1">
      <x:c r="A3" s="18"/>
      <x:c r="B3" s="18"/>
      <x:c r="C3" s="18"/>
      <x:c r="D3" s="18"/>
      <x:c r="E3" s="18"/>
      <x:c r="F3" s="18"/>
      <x:c r="G3" s="18"/>
      <x:c r="H3" s="18"/>
    </x:row>
    <x:row r="4" ht="30" customHeight="1">
      <x:c r="A4" s="10" t="str">
        <x:v>COVERAGE</x:v>
      </x:c>
      <x:c r="B4" s="10"/>
      <x:c r="C4" s="10"/>
      <x:c r="D4" s="10"/>
      <x:c r="E4" s="10" t="str">
        <x:v>ACCESS INVENTORY</x:v>
      </x:c>
      <x:c r="F4" s="10"/>
      <x:c r="G4" s="10"/>
      <x:c r="H4" s="10"/>
    </x:row>
    <x:row r="5" ht="32" customHeight="1">
      <x:c r="A5" s="28" t="str">
        <x:v>Cities indexed</x:v>
      </x:c>
      <x:c r="B5" s="28"/>
      <x:c r="C5" s="28"/>
      <x:c r="D5" s="31" t="n">
        <x:f>COUNTA(Cities!A2:A75)</x:f>
        <x:v>74</x:v>
      </x:c>
      <x:c r="E5" s="28" t="str">
        <x:v>Dataset families</x:v>
      </x:c>
      <x:c r="F5" s="28"/>
      <x:c r="G5" s="28"/>
      <x:c r="H5" s="31" t="n">
        <x:f>COUNTA(Datasets!A2:A35)</x:f>
        <x:v>34</x:v>
      </x:c>
    </x:row>
    <x:row r="6" ht="32" customHeight="1">
      <x:c r="A6" s="28" t="str">
        <x:v>City-specific data identified</x:v>
      </x:c>
      <x:c r="B6" s="28"/>
      <x:c r="C6" s="28"/>
      <x:c r="D6" s="31" t="n">
        <x:f>COUNTIF(Cities!D2:D75,"city_specific_dataset_identified")</x:f>
        <x:v>23</x:v>
      </x:c>
      <x:c r="E6" s="28" t="str">
        <x:v>Direct file URLs listed</x:v>
      </x:c>
      <x:c r="F6" s="28"/>
      <x:c r="G6" s="28"/>
      <x:c r="H6" s="31" t="n">
        <x:f>SUM(IF(Access!C2&lt;&gt;"",1,0),IF(Access!C3&lt;&gt;"",1,0),IF(Access!C4&lt;&gt;"",1,0),IF(Access!C5&lt;&gt;"",1,0),IF(Access!C6&lt;&gt;"",1,0),IF(Access!C7&lt;&gt;"",1,0),IF(Access!C8&lt;&gt;"",1,0),IF(Access!C9&lt;&gt;"",1,0),IF(Access!C10&lt;&gt;"",1,0),IF(Access!C11&lt;&gt;"",1,0),IF(Access!C12&lt;&gt;"",1,0),IF(Access!C13&lt;&gt;"",1,0),IF(Access!C14&lt;&gt;"",1,0),IF(Access!C15&lt;&gt;"",1,0),IF(Access!C16&lt;&gt;"",1,0),IF(Access!C17&lt;&gt;"",1,0),IF(Access!C18&lt;&gt;"",1,0),IF(Access!C19&lt;&gt;"",1,0),IF(Access!C20&lt;&gt;"",1,0),IF(Access!C21&lt;&gt;"",1,0),IF(Access!C22&lt;&gt;"",1,0),IF(Access!C23&lt;&gt;"",1,0),IF(Access!C24&lt;&gt;"",1,0),IF(Access!C25&lt;&gt;"",1,0),IF(Access!C26&lt;&gt;"",1,0),IF(Access!C27&lt;&gt;"",1,0),IF(Access!C28&lt;&gt;"",1,0),IF(Access!C29&lt;&gt;"",1,0),IF(Access!C30&lt;&gt;"",1,0),IF(Access!C31&lt;&gt;"",1,0),IF(Access!C32&lt;&gt;"",1,0),IF(Access!C33&lt;&gt;"",1,0),IF(Access!C34&lt;&gt;"",1,0),IF(Access!C35&lt;&gt;"",1,0))</x:f>
        <x:v>18</x:v>
      </x:c>
    </x:row>
    <x:row r="7" ht="32" customHeight="1">
      <x:c r="A7" s="28" t="str">
        <x:v>Regional filter required</x:v>
      </x:c>
      <x:c r="B7" s="28"/>
      <x:c r="C7" s="28"/>
      <x:c r="D7" s="31" t="n">
        <x:f>COUNTIF(Cities!D2:D75,"regional_dataset_requires_city_filter")</x:f>
        <x:v>28</x:v>
      </x:c>
      <x:c r="E7" s="28" t="str">
        <x:v>Data API URLs listed</x:v>
      </x:c>
      <x:c r="F7" s="28"/>
      <x:c r="G7" s="28"/>
      <x:c r="H7" s="31" t="n">
        <x:f>SUM(IF(Access!D2&lt;&gt;"",1,0),IF(Access!D3&lt;&gt;"",1,0),IF(Access!D4&lt;&gt;"",1,0),IF(Access!D5&lt;&gt;"",1,0),IF(Access!D6&lt;&gt;"",1,0),IF(Access!D7&lt;&gt;"",1,0),IF(Access!D8&lt;&gt;"",1,0),IF(Access!D9&lt;&gt;"",1,0),IF(Access!D10&lt;&gt;"",1,0),IF(Access!D11&lt;&gt;"",1,0),IF(Access!D12&lt;&gt;"",1,0),IF(Access!D13&lt;&gt;"",1,0),IF(Access!D14&lt;&gt;"",1,0),IF(Access!D15&lt;&gt;"",1,0),IF(Access!D16&lt;&gt;"",1,0),IF(Access!D17&lt;&gt;"",1,0),IF(Access!D18&lt;&gt;"",1,0),IF(Access!D19&lt;&gt;"",1,0),IF(Access!D20&lt;&gt;"",1,0),IF(Access!D21&lt;&gt;"",1,0),IF(Access!D22&lt;&gt;"",1,0),IF(Access!D23&lt;&gt;"",1,0),IF(Access!D24&lt;&gt;"",1,0),IF(Access!D25&lt;&gt;"",1,0),IF(Access!D26&lt;&gt;"",1,0),IF(Access!D27&lt;&gt;"",1,0),IF(Access!D28&lt;&gt;"",1,0),IF(Access!D29&lt;&gt;"",1,0),IF(Access!D30&lt;&gt;"",1,0),IF(Access!D31&lt;&gt;"",1,0),IF(Access!D32&lt;&gt;"",1,0),IF(Access!D33&lt;&gt;"",1,0),IF(Access!D34&lt;&gt;"",1,0),IF(Access!D35&lt;&gt;"",1,0))</x:f>
        <x:v>5</x:v>
      </x:c>
    </x:row>
    <x:row r="8" ht="32" customHeight="1">
      <x:c r="A8" s="28" t="str">
        <x:v>National baseline only</x:v>
      </x:c>
      <x:c r="B8" s="28"/>
      <x:c r="C8" s="28"/>
      <x:c r="D8" s="31" t="n">
        <x:f>COUNTIF(Cities!D2:D75,"national_baseline_only")</x:f>
        <x:v>23</x:v>
      </x:c>
      <x:c r="E8" s="28" t="str">
        <x:v>Explicit license identified</x:v>
      </x:c>
      <x:c r="F8" s="28"/>
      <x:c r="G8" s="28"/>
      <x:c r="H8" s="31" t="n">
        <x:f>COUNTIF(Datasets!I2:I35,"explicit")+COUNTIF(Datasets!I2:I35,"explicit_version_unspecified")</x:f>
        <x:v>13</x:v>
      </x:c>
    </x:row>
    <x:row r="9" ht="24" customHeight="1">
      <x:c r="A9" s="18"/>
      <x:c r="B9" s="18"/>
      <x:c r="C9" s="18"/>
      <x:c r="D9" s="18"/>
      <x:c r="E9" s="18"/>
      <x:c r="F9" s="18"/>
      <x:c r="G9" s="18"/>
      <x:c r="H9" s="18"/>
    </x:row>
    <x:row r="10" ht="25" customHeight="1">
      <x:c r="A10" s="35" t="str">
        <x:v>VERIFICATION LIMIT: Source pages and formats were reviewed; no underlying source dataset was parsed end to end. URL counts include untested endpoints and flagged access problems.</x:v>
      </x:c>
      <x:c r="B10" s="35"/>
      <x:c r="C10" s="35"/>
      <x:c r="D10" s="35"/>
      <x:c r="E10" s="35"/>
      <x:c r="F10" s="35"/>
      <x:c r="G10" s="35"/>
      <x:c r="H10" s="35"/>
    </x:row>
    <x:row r="11" ht="25" customHeight="1">
      <x:c r="A11" s="35"/>
      <x:c r="B11" s="35"/>
      <x:c r="C11" s="35"/>
      <x:c r="D11" s="35"/>
      <x:c r="E11" s="35"/>
      <x:c r="F11" s="35"/>
      <x:c r="G11" s="35"/>
      <x:c r="H11" s="35"/>
    </x:row>
    <x:row r="12" ht="24" customHeight="1">
      <x:c r="A12" s="18"/>
      <x:c r="B12" s="18"/>
      <x:c r="C12" s="18"/>
      <x:c r="D12" s="18"/>
      <x:c r="E12" s="18"/>
      <x:c r="F12" s="18"/>
      <x:c r="G12" s="18"/>
      <x:c r="H12" s="18"/>
    </x:row>
    <x:row r="13" ht="30" customHeight="1">
      <x:c r="A13" s="10" t="str">
        <x:v>HOW TO NAVIGATE</x:v>
      </x:c>
      <x:c r="B13" s="10"/>
      <x:c r="C13" s="10"/>
      <x:c r="D13" s="10"/>
      <x:c r="E13" s="10"/>
      <x:c r="F13" s="10"/>
      <x:c r="G13" s="10"/>
      <x:c r="H13" s="10"/>
    </x:row>
    <x:row r="14" ht="30" customHeight="1">
      <x:c r="A14" s="38" t="str">
        <x:v>Cities</x:v>
      </x:c>
      <x:c r="B14" s="38"/>
      <x:c r="C14" s="18" t="str">
        <x:v>All municipalities, linked dataset IDs, portal leads and explicit coverage gaps.</x:v>
      </x:c>
      <x:c r="D14" s="18"/>
      <x:c r="E14" s="18"/>
      <x:c r="F14" s="18"/>
      <x:c r="G14" s="18"/>
      <x:c r="H14" s="18"/>
    </x:row>
    <x:row r="15" ht="30" customHeight="1">
      <x:c r="A15" s="38" t="str">
        <x:v>Datasets</x:v>
      </x:c>
      <x:c r="B15" s="38"/>
      <x:c r="C15" s="18" t="str">
        <x:v>Subject, geography, formats, licensing, freshness and practical caveats.</x:v>
      </x:c>
      <x:c r="D15" s="18"/>
      <x:c r="E15" s="18"/>
      <x:c r="F15" s="18"/>
      <x:c r="G15" s="18"/>
      <x:c r="H15" s="18"/>
    </x:row>
    <x:row r="16" ht="30" customHeight="1">
      <x:c r="A16" s="38" t="str">
        <x:v>Access</x:v>
      </x:c>
      <x:c r="B16" s="38"/>
      <x:c r="C16" s="18" t="str">
        <x:v>Direct file URLs, data API routes, landing pages and exact validation status.</x:v>
      </x:c>
      <x:c r="D16" s="18"/>
      <x:c r="E16" s="18"/>
      <x:c r="F16" s="18"/>
      <x:c r="G16" s="18"/>
      <x:c r="H16" s="18"/>
    </x:row>
    <x:row r="17" ht="30" customHeight="1">
      <x:c r="A17" s="38" t="str">
        <x:v>Discovery</x:v>
      </x:c>
      <x:c r="B17" s="38"/>
      <x:c r="C17" s="18" t="str">
        <x:v>Catalog APIs and official directories, kept separate from underlying data.</x:v>
      </x:c>
      <x:c r="D17" s="18"/>
      <x:c r="E17" s="18"/>
      <x:c r="F17" s="18"/>
      <x:c r="G17" s="18"/>
      <x:c r="H17" s="18"/>
    </x:row>
    <x:row r="18" ht="30" customHeight="1">
      <x:c r="A18" s="38" t="str">
        <x:v>Guide</x:v>
      </x:c>
      <x:c r="B18" s="38"/>
      <x:c r="C18" s="18" t="str">
        <x:v>Ingestion notes, CRS checks, API pagination and known exceptions.</x:v>
      </x:c>
      <x:c r="D18" s="18"/>
      <x:c r="E18" s="18"/>
      <x:c r="F18" s="18"/>
      <x:c r="G18" s="18"/>
      <x:c r="H18" s="18"/>
    </x:row>
    <x:row r="19" ht="24" customHeight="1">
      <x:c r="A19" s="18"/>
      <x:c r="B19" s="18"/>
      <x:c r="C19" s="18"/>
      <x:c r="D19" s="18"/>
      <x:c r="E19" s="18"/>
      <x:c r="F19" s="18"/>
      <x:c r="G19" s="18"/>
      <x:c r="H19" s="18"/>
    </x:row>
    <x:row r="20" ht="27" customHeight="1">
      <x:c r="A20" s="40" t="str">
        <x:v>Start with Madrid air quality, Málaga waste containers, regional Valencian schools, Terrassa restaurants and the documented Zaragoza/AOC APIs. Check each license and validation note before automation.</x:v>
      </x:c>
      <x:c r="B20" s="40"/>
      <x:c r="C20" s="40"/>
      <x:c r="D20" s="40"/>
      <x:c r="E20" s="40"/>
      <x:c r="F20" s="40"/>
      <x:c r="G20" s="40"/>
      <x:c r="H20" s="40"/>
    </x:row>
    <x:row r="21" ht="27" customHeight="1">
      <x:c r="A21" s="40"/>
      <x:c r="B21" s="40"/>
      <x:c r="C21" s="40"/>
      <x:c r="D21" s="40"/>
      <x:c r="E21" s="40"/>
      <x:c r="F21" s="40"/>
      <x:c r="G21" s="40"/>
      <x:c r="H21" s="40"/>
    </x:row>
    <x:row r="22" ht="24" customHeight="1">
      <x:c r="A22" s="18"/>
      <x:c r="B22" s="18"/>
      <x:c r="C22" s="18"/>
      <x:c r="D22" s="18"/>
      <x:c r="E22" s="18"/>
      <x:c r="F22" s="18"/>
      <x:c r="G22" s="18"/>
      <x:c r="H22" s="18"/>
    </x:row>
    <x:row r="23" ht="25" customHeight="1">
      <x:c r="A23" s="26" t="str">
        <x:v>Scope: 74 selected large municipalities and regional or autonomous-city capitals. Not a population ranking, not every municipality, and not a claim of 74 fully verified municipal feeds.</x:v>
      </x:c>
      <x:c r="B23" s="26"/>
      <x:c r="C23" s="26"/>
      <x:c r="D23" s="26"/>
      <x:c r="E23" s="26"/>
      <x:c r="F23" s="26"/>
      <x:c r="G23" s="26"/>
      <x:c r="H23" s="26"/>
    </x:row>
    <x:row r="24" ht="25" customHeight="1">
      <x:c r="A24" s="26"/>
      <x:c r="B24" s="26"/>
      <x:c r="C24" s="26"/>
      <x:c r="D24" s="26"/>
      <x:c r="E24" s="26"/>
      <x:c r="F24" s="26"/>
      <x:c r="G24" s="26"/>
      <x:c r="H24" s="26"/>
    </x:row>
    <x:row r="25" ht="24" customHeight="1">
      <x:c r="A25" s="18"/>
      <x:c r="B25" s="18"/>
      <x:c r="C25" s="18"/>
      <x:c r="D25" s="18"/>
      <x:c r="E25" s="18"/>
      <x:c r="F25" s="18"/>
      <x:c r="G25" s="18"/>
      <x:c r="H25" s="18"/>
    </x:row>
    <x:row r="26" ht="25" customHeight="1">
      <x:c r="A26" s="26" t="str">
        <x:v>Companion files: CSV and JSON catalogs, normalized city-to-dataset links, and README_spain_open_data.md. The catalog contains links and metadata, not copies of source observations.</x:v>
      </x:c>
      <x:c r="B26" s="26"/>
      <x:c r="C26" s="26"/>
      <x:c r="D26" s="26"/>
      <x:c r="E26" s="26"/>
      <x:c r="F26" s="26"/>
      <x:c r="G26" s="26"/>
      <x:c r="H26" s="26"/>
    </x:row>
    <x:row r="27" ht="25" customHeight="1">
      <x:c r="A27" s="26"/>
      <x:c r="B27" s="26"/>
      <x:c r="C27" s="26"/>
      <x:c r="D27" s="26"/>
      <x:c r="E27" s="26"/>
      <x:c r="F27" s="26"/>
      <x:c r="G27" s="26"/>
      <x:c r="H27" s="26"/>
    </x:row>
  </x:sheetData>
  <x:mergeCells>
    <x:mergeCell ref="A1:H1"/>
    <x:mergeCell ref="A2:H2"/>
    <x:mergeCell ref="A4:D4"/>
    <x:mergeCell ref="E4:H4"/>
    <x:mergeCell ref="A5:C5"/>
    <x:mergeCell ref="A6:C6"/>
    <x:mergeCell ref="A7:C7"/>
    <x:mergeCell ref="A8:C8"/>
    <x:mergeCell ref="E5:G5"/>
    <x:mergeCell ref="E6:G6"/>
    <x:mergeCell ref="E7:G7"/>
    <x:mergeCell ref="E8:G8"/>
    <x:mergeCell ref="A10:H11"/>
    <x:mergeCell ref="A13:H13"/>
    <x:mergeCell ref="A14:B14"/>
    <x:mergeCell ref="C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A20:H21"/>
    <x:mergeCell ref="A23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4" hidden="0" customWidth="1"/>
    <x:col min="4" max="4" width="35" hidden="0" customWidth="1"/>
    <x:col min="5" max="5" width="34" hidden="0" customWidth="1"/>
    <x:col min="6" max="6" width="40" hidden="0" customWidth="1"/>
    <x:col min="7" max="7" width="32" hidden="0" customWidth="1"/>
    <x:col min="8" max="8" width="40" hidden="0" customWidth="1"/>
    <x:col min="9" max="9" width="40" hidden="0" customWidth="1"/>
  </x:cols>
  <x:sheetData>
    <x:row r="1" ht="30" customHeight="1">
      <x:c r="A1" s="10" t="str">
        <x:v>City ID</x:v>
      </x:c>
      <x:c r="B1" s="10" t="str">
        <x:v>City</x:v>
      </x:c>
      <x:c r="C1" s="10" t="str">
        <x:v>Autonomous community</x:v>
      </x:c>
      <x:c r="D1" s="10" t="str">
        <x:v>Coverage classification</x:v>
      </x:c>
      <x:c r="E1" s="10" t="str">
        <x:v>Dataset IDs</x:v>
      </x:c>
      <x:c r="F1" s="10" t="str">
        <x:v>Portal / directory URL</x:v>
      </x:c>
      <x:c r="G1" s="10" t="str">
        <x:v>Portal verification</x:v>
      </x:c>
      <x:c r="H1" s="10" t="str">
        <x:v>Coverage notes</x:v>
      </x:c>
      <x:c r="I1" s="10" t="str">
        <x:v>Primary source URL</x:v>
      </x:c>
    </x:row>
    <x:row r="2" ht="49" customHeight="1">
      <x:c r="A2" s="14" t="str">
        <x:v>CITY-001</x:v>
      </x:c>
      <x:c r="B2" s="14" t="str">
        <x:v>Madrid</x:v>
      </x:c>
      <x:c r="C2" s="14" t="str">
        <x:v>Comunidad de Madrid</x:v>
      </x:c>
      <x:c r="D2" s="14" t="str">
        <x:v>city_specific_dataset_identified</x:v>
      </x:c>
      <x:c r="E2" s="14" t="str">
        <x:v>MAD-AIR | ES-POP</x:v>
      </x:c>
      <x:c r="F2" s="14" t="str">
        <x:v>https://datos.madrid.es/dataset</x:v>
      </x:c>
      <x:c r="G2" s="14" t="str">
        <x:v>official_portal_observed</x:v>
      </x:c>
      <x:c r="H2" s="14" t="str">
        <x:v>Dataset page, distribution link or API documentation found; see per-dataset caveats.</x:v>
      </x:c>
      <x:c r="I2" s="14" t="str">
        <x:v>https://datos.madrid.es/dataset</x:v>
      </x:c>
    </x:row>
    <x:row r="3" ht="62" customHeight="1">
      <x:c r="A3" s="4" t="str">
        <x:v>CITY-002</x:v>
      </x:c>
      <x:c r="B3" s="4" t="str">
        <x:v>Barcelona</x:v>
      </x:c>
      <x:c r="C3" s="4" t="str">
        <x:v>Catalunya</x:v>
      </x:c>
      <x:c r="D3" s="4" t="str">
        <x:v>city_specific_dataset_identified</x:v>
      </x:c>
      <x:c r="E3" s="4" t="str">
        <x:v>BCN-TRANSPORT | BCN-PORT | CAT-BUDGET | ES-POP</x:v>
      </x:c>
      <x:c r="F3" s="4" t="str">
        <x:v>https://portaldades.ajuntament.barcelona.cat/</x:v>
      </x:c>
      <x:c r="G3" s="4" t="str">
        <x:v>official_portal_observed</x:v>
      </x:c>
      <x:c r="H3" s="4" t="str">
        <x:v>Dataset page, distribution link or API documentation found; see per-dataset caveats. Current portal uses JavaScript for some downloads.</x:v>
      </x:c>
      <x:c r="I3" s="4" t="str">
        <x:v>https://portaldades.ajuntament.barcelona.cat/</x:v>
      </x:c>
    </x:row>
    <x:row r="4" ht="75" customHeight="1">
      <x:c r="A4" s="14" t="str">
        <x:v>CITY-003</x:v>
      </x:c>
      <x:c r="B4" s="14" t="str">
        <x:v>Valencia</x:v>
      </x:c>
      <x:c r="C4" s="14" t="str">
        <x:v>Comunitat Valenciana</x:v>
      </x:c>
      <x:c r="D4" s="14" t="str">
        <x:v>city_specific_dataset_identified</x:v>
      </x:c>
      <x:c r="E4" s="14" t="str">
        <x:v>VLC-GREEN | VAL-SCHOOLS | ES-POP</x:v>
      </x:c>
      <x:c r="F4" s="14" t="str">
        <x:v>https://opendata.vlci.valencia.es/dataset/</x:v>
      </x:c>
      <x:c r="G4" s="14" t="str">
        <x:v>official_portal_observed</x:v>
      </x:c>
      <x:c r="H4" s="14" t="str">
        <x:v>Dataset page, distribution link or API documentation found; see per-dataset caveats. Use the current CKAN catalog; do not assume legacy Opendatasoft export paths still apply.</x:v>
      </x:c>
      <x:c r="I4" s="14" t="str">
        <x:v>https://opendata.vlci.valencia.es/dataset/</x:v>
      </x:c>
    </x:row>
    <x:row r="5" ht="49" customHeight="1">
      <x:c r="A5" s="4" t="str">
        <x:v>CITY-004</x:v>
      </x:c>
      <x:c r="B5" s="4" t="str">
        <x:v>Zaragoza</x:v>
      </x:c>
      <x:c r="C5" s="4" t="str">
        <x:v>Aragón</x:v>
      </x:c>
      <x:c r="D5" s="4" t="str">
        <x:v>city_specific_dataset_identified</x:v>
      </x:c>
      <x:c r="E5" s="4" t="str">
        <x:v>ZGZ-MONUMENTS | ZGZ-EMISSIONS | ES-POP</x:v>
      </x:c>
      <x:c r="F5" s="4" t="str">
        <x:v>https://zaragoza.es/sede/portal/espacio-de-datos/herramientas/api-rest</x:v>
      </x:c>
      <x:c r="G5" s="4" t="str">
        <x:v>official_portal_observed</x:v>
      </x:c>
      <x:c r="H5" s="4" t="str">
        <x:v>Dataset page, distribution link or API documentation found; see per-dataset caveats.</x:v>
      </x:c>
      <x:c r="I5" s="4" t="str">
        <x:v>https://zaragoza.es/sede/portal/espacio-de-datos/herramientas/api-rest</x:v>
      </x:c>
    </x:row>
    <x:row r="6" ht="75" customHeight="1">
      <x:c r="A6" s="14" t="str">
        <x:v>CITY-005</x:v>
      </x:c>
      <x:c r="B6" s="14" t="str">
        <x:v>Sevilla</x:v>
      </x:c>
      <x:c r="C6" s="14" t="str">
        <x:v>Andalucía</x:v>
      </x:c>
      <x:c r="D6" s="14" t="str">
        <x:v>regional_dataset_requires_city_filter</x:v>
      </x:c>
      <x:c r="E6" s="14" t="str">
        <x:v>AND-SPORT | ES-POP</x:v>
      </x:c>
      <x:c r="F6" s="14" t="str">
        <x:v>https://www.urbanismosevilla.org/areas/sostenibilidad-innovacion/ide/carta-de-servicios/informacion-urbana/datos-abiertos/descarga-de-datos</x:v>
      </x:c>
      <x:c r="G6" s="14" t="str">
        <x:v>official_listing_access_issue</x:v>
      </x:c>
      <x:c r="H6" s="14" t="str">
        <x:v>No municipality-specific export verified; regional data plus INE baseline provided. Planning authority offers CSV / GIS downloads; page returned a gateway error during checking.</x:v>
      </x:c>
      <x:c r="I6" s="14" t="str">
        <x:v>https://www.urbanismosevilla.org/areas/sostenibilidad-innovacion/ide/carta-de-servicios/informacion-urbana/datos-abiertos/descarga-de-datos</x:v>
      </x:c>
    </x:row>
    <x:row r="7" ht="49" customHeight="1">
      <x:c r="A7" s="4" t="str">
        <x:v>CITY-006</x:v>
      </x:c>
      <x:c r="B7" s="4" t="str">
        <x:v>Málaga</x:v>
      </x:c>
      <x:c r="C7" s="4" t="str">
        <x:v>Andalucía</x:v>
      </x:c>
      <x:c r="D7" s="4" t="str">
        <x:v>city_specific_dataset_identified</x:v>
      </x:c>
      <x:c r="E7" s="4" t="str">
        <x:v>MAL-BINS | AND-SPORT | ES-POP</x:v>
      </x:c>
      <x:c r="F7" s="4" t="str">
        <x:v>https://datosabiertos.malaga.eu/</x:v>
      </x:c>
      <x:c r="G7" s="4" t="str">
        <x:v>official_portal_observed</x:v>
      </x:c>
      <x:c r="H7" s="4" t="str">
        <x:v>Dataset page, distribution link or API documentation found; see per-dataset caveats.</x:v>
      </x:c>
      <x:c r="I7" s="4" t="str">
        <x:v>https://datosabiertos.malaga.eu/</x:v>
      </x:c>
    </x:row>
    <x:row r="8" ht="49" customHeight="1">
      <x:c r="A8" s="14" t="str">
        <x:v>CITY-007</x:v>
      </x:c>
      <x:c r="B8" s="14" t="str">
        <x:v>Murcia</x:v>
      </x:c>
      <x:c r="C8" s="14" t="str">
        <x:v>Región de Murcia</x:v>
      </x:c>
      <x:c r="D8" s="14" t="str">
        <x:v>city_specific_dataset_identified</x:v>
      </x:c>
      <x:c r="E8" s="14" t="str">
        <x:v>MUR-VISITORS | ES-POP</x:v>
      </x:c>
      <x:c r="F8" s="14" t="str">
        <x:v>https://transparencia.mimurcia.murcia.es/</x:v>
      </x:c>
      <x:c r="G8" s="14" t="str">
        <x:v>official_portal_observed</x:v>
      </x:c>
      <x:c r="H8" s="14" t="str">
        <x:v>Dataset page, distribution link or API documentation found; see per-dataset caveats.</x:v>
      </x:c>
      <x:c r="I8" s="14" t="str">
        <x:v>https://transparencia.mimurcia.murcia.es/</x:v>
      </x:c>
    </x:row>
    <x:row r="9" ht="42" customHeight="1">
      <x:c r="A9" s="4" t="str">
        <x:v>CITY-008</x:v>
      </x:c>
      <x:c r="B9" s="4" t="str">
        <x:v>Palma</x:v>
      </x:c>
      <x:c r="C9" s="4" t="str">
        <x:v>Illes Balears</x:v>
      </x:c>
      <x:c r="D9" s="4" t="str">
        <x:v>regional_dataset_requires_city_filter</x:v>
      </x:c>
      <x:c r="E9" s="4" t="str">
        <x:v>BAL-GTFS | ES-POP</x:v>
      </x:c>
      <x:c r="F9" s="4" t="str"/>
      <x:c r="G9" s="4" t="str">
        <x:v>not_verified</x:v>
      </x:c>
      <x:c r="H9" s="4" t="str">
        <x:v>No municipality-specific export verified; regional data plus INE baseline provided.</x:v>
      </x:c>
      <x:c r="I9" s="4" t="str">
        <x:v>https://www.tib.org/es/sobre-ctm/portal-de-transparencia/datos-abiertos</x:v>
      </x:c>
    </x:row>
    <x:row r="10" ht="62" customHeight="1">
      <x:c r="A10" s="14" t="str">
        <x:v>CITY-009</x:v>
      </x:c>
      <x:c r="B10" s="14" t="str">
        <x:v>Las Palmas de Gran Canaria</x:v>
      </x:c>
      <x:c r="C10" s="14" t="str">
        <x:v>Canarias</x:v>
      </x:c>
      <x:c r="D10" s="14" t="str">
        <x:v>city_specific_dataset_identified</x:v>
      </x:c>
      <x:c r="E10" s="14" t="str">
        <x:v>LPA-STOPS | ES-POP</x:v>
      </x:c>
      <x:c r="F10" s="14" t="str">
        <x:v>https://datosabiertos.laspalmasgc.es/data/</x:v>
      </x:c>
      <x:c r="G10" s="14" t="str">
        <x:v>official_listing_access_issue</x:v>
      </x:c>
      <x:c r="H10" s="14" t="str">
        <x:v>Only catalog-level local dataset listings verified; exports need follow-up. Catalog lists CSV/JSON transit and parking data; direct page access returned a gateway error.</x:v>
      </x:c>
      <x:c r="I10" s="14" t="str">
        <x:v>https://datosabiertos.laspalmasgc.es/data/</x:v>
      </x:c>
    </x:row>
    <x:row r="11" ht="42" customHeight="1">
      <x:c r="A11" s="4" t="str">
        <x:v>CITY-010</x:v>
      </x:c>
      <x:c r="B11" s="4" t="str">
        <x:v>Alicante</x:v>
      </x:c>
      <x:c r="C11" s="4" t="str">
        <x:v>Comunitat Valenciana</x:v>
      </x:c>
      <x:c r="D11" s="4" t="str">
        <x:v>regional_dataset_requires_city_filter</x:v>
      </x:c>
      <x:c r="E11" s="4" t="str">
        <x:v>VAL-SCHOOLS | ES-POP</x:v>
      </x:c>
      <x:c r="F11" s="4" t="str">
        <x:v>https://datosabiertos.alicante.es/?q=inicio</x:v>
      </x:c>
      <x:c r="G11" s="4" t="str">
        <x:v>official_portal_observed</x:v>
      </x:c>
      <x:c r="H11" s="4" t="str">
        <x:v>No municipality-specific export verified; regional data plus INE baseline provided.</x:v>
      </x:c>
      <x:c r="I11" s="4" t="str">
        <x:v>https://datosabiertos.alicante.es/?q=inicio</x:v>
      </x:c>
    </x:row>
    <x:row r="12" ht="49" customHeight="1">
      <x:c r="A12" s="14" t="str">
        <x:v>CITY-011</x:v>
      </x:c>
      <x:c r="B12" s="14" t="str">
        <x:v>Bilbao</x:v>
      </x:c>
      <x:c r="C12" s="14" t="str">
        <x:v>Euskadi</x:v>
      </x:c>
      <x:c r="D12" s="14" t="str">
        <x:v>city_specific_dataset_identified</x:v>
      </x:c>
      <x:c r="E12" s="14" t="str">
        <x:v>BIO-PARCELS | EUS-SPORT | ES-POP</x:v>
      </x:c>
      <x:c r="F12" s="14" t="str">
        <x:v>https://www.bilbao.eus/opendata/es/inicio</x:v>
      </x:c>
      <x:c r="G12" s="14" t="str">
        <x:v>official_portal_observed</x:v>
      </x:c>
      <x:c r="H12" s="14" t="str">
        <x:v>Dataset page, distribution link or API documentation found; see per-dataset caveats.</x:v>
      </x:c>
      <x:c r="I12" s="14" t="str">
        <x:v>https://www.bilbao.eus/opendata/es/inicio</x:v>
      </x:c>
    </x:row>
    <x:row r="13" ht="49" customHeight="1">
      <x:c r="A13" s="4" t="str">
        <x:v>CITY-012</x:v>
      </x:c>
      <x:c r="B13" s="4" t="str">
        <x:v>Córdoba</x:v>
      </x:c>
      <x:c r="C13" s="4" t="str">
        <x:v>Andalucía</x:v>
      </x:c>
      <x:c r="D13" s="4" t="str">
        <x:v>city_specific_dataset_identified</x:v>
      </x:c>
      <x:c r="E13" s="4" t="str">
        <x:v>COR-CRASHES | AND-SPORT | ES-POP</x:v>
      </x:c>
      <x:c r="F13" s="4" t="str">
        <x:v>https://datosabiertos.cordoba.es/ckan/dataset</x:v>
      </x:c>
      <x:c r="G13" s="4" t="str">
        <x:v>official_portal_observed</x:v>
      </x:c>
      <x:c r="H13" s="4" t="str">
        <x:v>Dataset page, distribution link or API documentation found; see per-dataset caveats.</x:v>
      </x:c>
      <x:c r="I13" s="4" t="str">
        <x:v>https://datosabiertos.cordoba.es/ckan/dataset</x:v>
      </x:c>
    </x:row>
    <x:row r="14" ht="42" customHeight="1">
      <x:c r="A14" s="14" t="str">
        <x:v>CITY-013</x:v>
      </x:c>
      <x:c r="B14" s="14" t="str">
        <x:v>Valladolid</x:v>
      </x:c>
      <x:c r="C14" s="14" t="str">
        <x:v>Castilla y León</x:v>
      </x:c>
      <x:c r="D14" s="14" t="str">
        <x:v>regional_dataset_requires_city_filter</x:v>
      </x:c>
      <x:c r="E14" s="14" t="str">
        <x:v>CYL-MONUMENTS | ES-POP</x:v>
      </x:c>
      <x:c r="F14" s="14" t="str"/>
      <x:c r="G14" s="14" t="str">
        <x:v>not_verified</x:v>
      </x:c>
      <x:c r="H14" s="14" t="str">
        <x:v>No municipality-specific export verified; regional data plus INE baseline provided.</x:v>
      </x:c>
      <x:c r="I14" s="14" t="str">
        <x:v>https://analisis.datosabiertos.jcyl.es/explore/dataset/relacion-monumentos/information/</x:v>
      </x:c>
    </x:row>
    <x:row r="15" ht="88" customHeight="1">
      <x:c r="A15" s="4" t="str">
        <x:v>CITY-014</x:v>
      </x:c>
      <x:c r="B15" s="4" t="str">
        <x:v>Vigo</x:v>
      </x:c>
      <x:c r="C15" s="4" t="str">
        <x:v>Galicia</x:v>
      </x:c>
      <x:c r="D15" s="4" t="str">
        <x:v>national_baseline_only</x:v>
      </x:c>
      <x:c r="E15" s="4" t="str">
        <x:v>ES-POP</x:v>
      </x:c>
      <x:c r="F15" s="4" t="str">
        <x:v>https://datos.vigo.org/es/</x:v>
      </x:c>
      <x:c r="G15" s="4" t="str">
        <x:v>official_portal_observed</x:v>
      </x:c>
      <x:c r="H15" s="4" t="str">
        <x:v>No suitable local or regional dataset verified in this pass. INE baseline only; this is a coverage gap, not proof that none exists. Catalog link points to https://datos-ckan.vigo.org/; catalog access timed out.</x:v>
      </x:c>
      <x:c r="I15" s="4" t="str">
        <x:v>https://datos.vigo.org/es/</x:v>
      </x:c>
    </x:row>
    <x:row r="16" ht="49" customHeight="1">
      <x:c r="A16" s="14" t="str">
        <x:v>CITY-015</x:v>
      </x:c>
      <x:c r="B16" s="14" t="str">
        <x:v>L’Hospitalet de Llobregat</x:v>
      </x:c>
      <x:c r="C16" s="14" t="str">
        <x:v>Catalunya</x:v>
      </x:c>
      <x:c r="D16" s="14" t="str">
        <x:v>city_specific_dataset_identified</x:v>
      </x:c>
      <x:c r="E16" s="14" t="str">
        <x:v>HOS-BICIBOX | CAT-BUDGET | ES-POP</x:v>
      </x:c>
      <x:c r="F16" s="14" t="str">
        <x:v>https://seu-e.cat/ca/web/hospitaletdellobregat/dades-obertes</x:v>
      </x:c>
      <x:c r="G16" s="14" t="str">
        <x:v>official_portal_observed</x:v>
      </x:c>
      <x:c r="H16" s="14" t="str">
        <x:v>Dataset page, distribution link or API documentation found; see per-dataset caveats.</x:v>
      </x:c>
      <x:c r="I16" s="14" t="str">
        <x:v>https://seu-e.cat/ca/web/hospitaletdellobregat/dades-obertes</x:v>
      </x:c>
    </x:row>
    <x:row r="17" ht="42" customHeight="1">
      <x:c r="A17" s="4" t="str">
        <x:v>CITY-016</x:v>
      </x:c>
      <x:c r="B17" s="4" t="str">
        <x:v>Gijón</x:v>
      </x:c>
      <x:c r="C17" s="4" t="str">
        <x:v>Principado de Asturias</x:v>
      </x:c>
      <x:c r="D17" s="4" t="str">
        <x:v>city_specific_dataset_identified</x:v>
      </x:c>
      <x:c r="E17" s="4" t="str">
        <x:v>GIJ-AIR | ES-POP</x:v>
      </x:c>
      <x:c r="F17" s="4" t="str">
        <x:v>https://datos.gijon.es/</x:v>
      </x:c>
      <x:c r="G17" s="4" t="str">
        <x:v>official_portal_observed</x:v>
      </x:c>
      <x:c r="H17" s="4" t="str">
        <x:v>Only catalog-level local dataset listings verified; exports need follow-up.</x:v>
      </x:c>
      <x:c r="I17" s="4" t="str">
        <x:v>https://datos.gijon.es/</x:v>
      </x:c>
    </x:row>
    <x:row r="18" ht="49" customHeight="1">
      <x:c r="A18" s="14" t="str">
        <x:v>CITY-017</x:v>
      </x:c>
      <x:c r="B18" s="14" t="str">
        <x:v>Vitoria-Gasteiz</x:v>
      </x:c>
      <x:c r="C18" s="14" t="str">
        <x:v>Euskadi</x:v>
      </x:c>
      <x:c r="D18" s="14" t="str">
        <x:v>city_specific_dataset_identified</x:v>
      </x:c>
      <x:c r="E18" s="14" t="str">
        <x:v>VIT-CONTRACTS | EUS-SPORT | ES-POP</x:v>
      </x:c>
      <x:c r="F18" s="14" t="str">
        <x:v>https://www.vitoria-gasteiz.org/j34-01w/catalogo/portada?idioma=es&amp;lang=es&amp;locale=es</x:v>
      </x:c>
      <x:c r="G18" s="14" t="str">
        <x:v>official_portal_observed</x:v>
      </x:c>
      <x:c r="H18" s="14" t="str">
        <x:v>Dataset page, distribution link or API documentation found; see per-dataset caveats.</x:v>
      </x:c>
      <x:c r="I18" s="14" t="str">
        <x:v>https://www.vitoria-gasteiz.org/j34-01w/catalogo/portada?idioma=es&amp;lang=es&amp;locale=es</x:v>
      </x:c>
    </x:row>
    <x:row r="19" ht="75" customHeight="1">
      <x:c r="A19" s="4" t="str">
        <x:v>CITY-018</x:v>
      </x:c>
      <x:c r="B19" s="4" t="str">
        <x:v>A Coruña</x:v>
      </x:c>
      <x:c r="C19" s="4" t="str">
        <x:v>Galicia</x:v>
      </x:c>
      <x:c r="D19" s="4" t="str">
        <x:v>national_baseline_only</x:v>
      </x:c>
      <x:c r="E19" s="4" t="str">
        <x:v>ES-POP</x:v>
      </x:c>
      <x:c r="F19" s="4" t="str">
        <x:v>https://datos.coruna.gal/es/</x:v>
      </x:c>
      <x:c r="G19" s="4" t="str">
        <x:v>official_listing_access_issue</x:v>
      </x:c>
      <x:c r="H19" s="4" t="str">
        <x:v>No suitable local or regional dataset verified in this pass. INE baseline only; this is a coverage gap, not proof that none exists. Catalog returned 403 in the research tool.</x:v>
      </x:c>
      <x:c r="I19" s="4" t="str">
        <x:v>https://datos.gob.es/es/iniciativas/coruna-smart-city-open-data</x:v>
      </x:c>
    </x:row>
    <x:row r="20" ht="42" customHeight="1">
      <x:c r="A20" s="14" t="str">
        <x:v>CITY-019</x:v>
      </x:c>
      <x:c r="B20" s="14" t="str">
        <x:v>Elche</x:v>
      </x:c>
      <x:c r="C20" s="14" t="str">
        <x:v>Comunitat Valenciana</x:v>
      </x:c>
      <x:c r="D20" s="14" t="str">
        <x:v>regional_dataset_requires_city_filter</x:v>
      </x:c>
      <x:c r="E20" s="14" t="str">
        <x:v>VAL-SCHOOLS | ES-POP</x:v>
      </x:c>
      <x:c r="F20" s="14" t="str"/>
      <x:c r="G20" s="14" t="str">
        <x:v>not_verified</x:v>
      </x:c>
      <x:c r="H20" s="14" t="str">
        <x:v>No municipality-specific export verified; regional data plus INE baseline provided.</x:v>
      </x:c>
      <x:c r="I20" s="14" t="str">
        <x:v>https://dadesobertes.gva.es/es/dataset/edu-centros</x:v>
      </x:c>
    </x:row>
    <x:row r="21" ht="49" customHeight="1">
      <x:c r="A21" s="4" t="str">
        <x:v>CITY-020</x:v>
      </x:c>
      <x:c r="B21" s="4" t="str">
        <x:v>Granada</x:v>
      </x:c>
      <x:c r="C21" s="4" t="str">
        <x:v>Andalucía</x:v>
      </x:c>
      <x:c r="D21" s="4" t="str">
        <x:v>regional_dataset_requires_city_filter</x:v>
      </x:c>
      <x:c r="E21" s="4" t="str">
        <x:v>AND-SPORT | ES-POP</x:v>
      </x:c>
      <x:c r="F21" s="4" t="str"/>
      <x:c r="G21" s="4" t="str">
        <x:v>not_verified</x:v>
      </x:c>
      <x:c r="H21" s="4" t="str">
        <x:v>No municipality-specific export verified; regional data plus INE baseline provided.</x:v>
      </x:c>
      <x:c r="I21" s="4" t="str">
        <x:v>https://www.juntadeandalucia.es/datosabiertos/portal/dataset/censo-de-instalaciones-deportivas</x:v>
      </x:c>
    </x:row>
    <x:row r="22" ht="49" customHeight="1">
      <x:c r="A22" s="14" t="str">
        <x:v>CITY-021</x:v>
      </x:c>
      <x:c r="B22" s="14" t="str">
        <x:v>Terrassa</x:v>
      </x:c>
      <x:c r="C22" s="14" t="str">
        <x:v>Catalunya</x:v>
      </x:c>
      <x:c r="D22" s="14" t="str">
        <x:v>city_specific_dataset_identified</x:v>
      </x:c>
      <x:c r="E22" s="14" t="str">
        <x:v>TER-RESTAURANTS | TER-BUDGET | TER-BOUNDARIES | CAT-BUDGET | ES-POP</x:v>
      </x:c>
      <x:c r="F22" s="14" t="str">
        <x:v>https://opendata.terrassa.cat/es/</x:v>
      </x:c>
      <x:c r="G22" s="14" t="str">
        <x:v>official_portal_observed</x:v>
      </x:c>
      <x:c r="H22" s="14" t="str">
        <x:v>Dataset page, distribution link or API documentation found; see per-dataset caveats.</x:v>
      </x:c>
      <x:c r="I22" s="14" t="str">
        <x:v>https://opendata.terrassa.cat/es/</x:v>
      </x:c>
    </x:row>
    <x:row r="23" ht="62" customHeight="1">
      <x:c r="A23" s="4" t="str">
        <x:v>CITY-022</x:v>
      </x:c>
      <x:c r="B23" s="4" t="str">
        <x:v>Badalona</x:v>
      </x:c>
      <x:c r="C23" s="4" t="str">
        <x:v>Catalunya</x:v>
      </x:c>
      <x:c r="D23" s="4" t="str">
        <x:v>regional_dataset_requires_city_filter</x:v>
      </x:c>
      <x:c r="E23" s="4" t="str">
        <x:v>CAT-BUDGET | ES-POP</x:v>
      </x:c>
      <x:c r="F23" s="4" t="str">
        <x:v>https://datos.gob.es/es/iniciativas/open-data-badalona</x:v>
      </x:c>
      <x:c r="G23" s="4" t="str">
        <x:v>national_directory_lead</x:v>
      </x:c>
      <x:c r="H23" s="4" t="str">
        <x:v>No municipality-specific export verified; regional data plus INE baseline provided. This is the national directory entry, not a direct municipal data file.</x:v>
      </x:c>
      <x:c r="I23" s="4" t="str">
        <x:v>https://datos.gob.es/es/iniciativas/open-data-badalona</x:v>
      </x:c>
    </x:row>
    <x:row r="24" ht="62" customHeight="1">
      <x:c r="A24" s="14" t="str">
        <x:v>CITY-023</x:v>
      </x:c>
      <x:c r="B24" s="14" t="str">
        <x:v>Sabadell</x:v>
      </x:c>
      <x:c r="C24" s="14" t="str">
        <x:v>Catalunya</x:v>
      </x:c>
      <x:c r="D24" s="14" t="str">
        <x:v>city_specific_dataset_identified</x:v>
      </x:c>
      <x:c r="E24" s="14" t="str">
        <x:v>SAB-POP | CAT-BUDGET | ES-POP</x:v>
      </x:c>
      <x:c r="F24" s="14" t="str">
        <x:v>https://opendata.sabadell.cat/inici/fitxes-cataleg?cod=OD-%2CCSV&amp;title=Dades+en+format+CSV</x:v>
      </x:c>
      <x:c r="G24" s="14" t="str">
        <x:v>official_listing_access_issue</x:v>
      </x:c>
      <x:c r="H24" s="14" t="str">
        <x:v>Only catalog-level local dataset listings verified; exports need follow-up. CSV-filtered listing verified in search; direct access subsequently timed out.</x:v>
      </x:c>
      <x:c r="I24" s="14" t="str">
        <x:v>https://opendata.sabadell.cat/inici/fitxes-cataleg?cod=OD-%2CCSV&amp;title=Dades+en+format+CSV</x:v>
      </x:c>
    </x:row>
    <x:row r="25" ht="62" customHeight="1">
      <x:c r="A25" s="4" t="str">
        <x:v>CITY-024</x:v>
      </x:c>
      <x:c r="B25" s="4" t="str">
        <x:v>Oviedo</x:v>
      </x:c>
      <x:c r="C25" s="4" t="str">
        <x:v>Principado de Asturias</x:v>
      </x:c>
      <x:c r="D25" s="4" t="str">
        <x:v>national_baseline_only</x:v>
      </x:c>
      <x:c r="E25" s="4" t="str">
        <x:v>ES-POP</x:v>
      </x:c>
      <x:c r="F25" s="4" t="str"/>
      <x:c r="G25" s="4" t="str">
        <x:v>not_verified</x:v>
      </x:c>
      <x:c r="H25" s="4" t="str">
        <x:v>No suitable local or regional dataset verified in this pass. INE baseline only; this is a coverage gap, not proof that none exists.</x:v>
      </x:c>
      <x:c r="I25" s="4" t="str">
        <x:v>https://www.ine.es/jaxiT3/Tabla.htm?t=68065</x:v>
      </x:c>
    </x:row>
    <x:row r="26" ht="49" customHeight="1">
      <x:c r="A26" s="14" t="str">
        <x:v>CITY-025</x:v>
      </x:c>
      <x:c r="B26" s="14" t="str">
        <x:v>Cartagena</x:v>
      </x:c>
      <x:c r="C26" s="14" t="str">
        <x:v>Región de Murcia</x:v>
      </x:c>
      <x:c r="D26" s="14" t="str">
        <x:v>city_specific_dataset_identified</x:v>
      </x:c>
      <x:c r="E26" s="14" t="str">
        <x:v>CAR-SPORT | ES-POP</x:v>
      </x:c>
      <x:c r="F26" s="14" t="str">
        <x:v>https://datosabiertos.regiondemurcia.es/admin/dataset/?organization=ayuntamiento-de-cartagena</x:v>
      </x:c>
      <x:c r="G26" s="14" t="str">
        <x:v>municipal_catalog_hosted_regionally</x:v>
      </x:c>
      <x:c r="H26" s="14" t="str">
        <x:v>Dataset page, distribution link or API documentation found; see per-dataset caveats.</x:v>
      </x:c>
      <x:c r="I26" s="14" t="str">
        <x:v>https://datosabiertos.regiondemurcia.es/admin/dataset/?organization=ayuntamiento-de-cartagena</x:v>
      </x:c>
    </x:row>
    <x:row r="27" ht="49" customHeight="1">
      <x:c r="A27" s="4" t="str">
        <x:v>CITY-026</x:v>
      </x:c>
      <x:c r="B27" s="4" t="str">
        <x:v>Jerez de la Frontera</x:v>
      </x:c>
      <x:c r="C27" s="4" t="str">
        <x:v>Andalucía</x:v>
      </x:c>
      <x:c r="D27" s="4" t="str">
        <x:v>regional_dataset_requires_city_filter</x:v>
      </x:c>
      <x:c r="E27" s="4" t="str">
        <x:v>AND-SPORT | ES-POP</x:v>
      </x:c>
      <x:c r="F27" s="4" t="str"/>
      <x:c r="G27" s="4" t="str">
        <x:v>not_verified</x:v>
      </x:c>
      <x:c r="H27" s="4" t="str">
        <x:v>No municipality-specific export verified; regional data plus INE baseline provided.</x:v>
      </x:c>
      <x:c r="I27" s="4" t="str">
        <x:v>https://www.juntadeandalucia.es/datosabiertos/portal/dataset/censo-de-instalaciones-deportivas</x:v>
      </x:c>
    </x:row>
    <x:row r="28" ht="42" customHeight="1">
      <x:c r="A28" s="14" t="str">
        <x:v>CITY-027</x:v>
      </x:c>
      <x:c r="B28" s="14" t="str">
        <x:v>Pamplona</x:v>
      </x:c>
      <x:c r="C28" s="14" t="str">
        <x:v>Comunidad Foral de Navarra</x:v>
      </x:c>
      <x:c r="D28" s="14" t="str">
        <x:v>city_specific_dataset_identified</x:v>
      </x:c>
      <x:c r="E28" s="14" t="str">
        <x:v>PAM-BUDGET | ES-POP</x:v>
      </x:c>
      <x:c r="F28" s="14" t="str">
        <x:v>https://www.pamplona.es/ayuntamiento/varios/open-data-ayuntamiento-de-pamplona</x:v>
      </x:c>
      <x:c r="G28" s="14" t="str">
        <x:v>official_portal_observed</x:v>
      </x:c>
      <x:c r="H28" s="14" t="str">
        <x:v>Only catalog-level local dataset listings verified; exports need follow-up.</x:v>
      </x:c>
      <x:c r="I28" s="14" t="str">
        <x:v>https://www.pamplona.es/ayuntamiento/varios/open-data-ayuntamiento-de-pamplona</x:v>
      </x:c>
    </x:row>
    <x:row r="29" ht="62" customHeight="1">
      <x:c r="A29" s="4" t="str">
        <x:v>CITY-028</x:v>
      </x:c>
      <x:c r="B29" s="4" t="str">
        <x:v>Móstoles</x:v>
      </x:c>
      <x:c r="C29" s="4" t="str">
        <x:v>Comunidad de Madrid</x:v>
      </x:c>
      <x:c r="D29" s="4" t="str">
        <x:v>national_baseline_only</x:v>
      </x:c>
      <x:c r="E29" s="4" t="str">
        <x:v>ES-POP</x:v>
      </x:c>
      <x:c r="F29" s="4" t="str"/>
      <x:c r="G29" s="4" t="str">
        <x:v>not_verified</x:v>
      </x:c>
      <x:c r="H29" s="4" t="str">
        <x:v>No suitable local or regional dataset verified in this pass. INE baseline only; this is a coverage gap, not proof that none exists.</x:v>
      </x:c>
      <x:c r="I29" s="4" t="str">
        <x:v>https://www.ine.es/jaxiT3/Tabla.htm?t=68065</x:v>
      </x:c>
    </x:row>
    <x:row r="30" ht="49" customHeight="1">
      <x:c r="A30" s="14" t="str">
        <x:v>CITY-029</x:v>
      </x:c>
      <x:c r="B30" s="14" t="str">
        <x:v>Almería</x:v>
      </x:c>
      <x:c r="C30" s="14" t="str">
        <x:v>Andalucía</x:v>
      </x:c>
      <x:c r="D30" s="14" t="str">
        <x:v>regional_dataset_requires_city_filter</x:v>
      </x:c>
      <x:c r="E30" s="14" t="str">
        <x:v>AND-SPORT | ES-POP</x:v>
      </x:c>
      <x:c r="F30" s="14" t="str"/>
      <x:c r="G30" s="14" t="str">
        <x:v>not_verified</x:v>
      </x:c>
      <x:c r="H30" s="14" t="str">
        <x:v>No municipality-specific export verified; regional data plus INE baseline provided.</x:v>
      </x:c>
      <x:c r="I30" s="14" t="str">
        <x:v>https://www.juntadeandalucia.es/datosabiertos/portal/dataset/censo-de-instalaciones-deportivas</x:v>
      </x:c>
    </x:row>
    <x:row r="31" ht="88" customHeight="1">
      <x:c r="A31" s="4" t="str">
        <x:v>CITY-030</x:v>
      </x:c>
      <x:c r="B31" s="4" t="str">
        <x:v>Santa Cruz de Tenerife</x:v>
      </x:c>
      <x:c r="C31" s="4" t="str">
        <x:v>Canarias</x:v>
      </x:c>
      <x:c r="D31" s="4" t="str">
        <x:v>national_baseline_only</x:v>
      </x:c>
      <x:c r="E31" s="4" t="str">
        <x:v>ES-POP</x:v>
      </x:c>
      <x:c r="F31" s="4" t="str">
        <x:v>https://www.santacruzdetenerife.es/opendata/dataset/contenedores-rrsu</x:v>
      </x:c>
      <x:c r="G31" s="4" t="str">
        <x:v>official_directory_lead_access_unconfirmed</x:v>
      </x:c>
      <x:c r="H31" s="4" t="str">
        <x:v>No suitable local or regional dataset verified in this pass. INE baseline only; this is a coverage gap, not proof that none exists. FEMP lists this waste-container dataset; format and payload were not recovered.</x:v>
      </x:c>
      <x:c r="I31" s="4" t="str">
        <x:v>https://datosabiertosfemp.es/frontend/web/index.php?r=dataset/index_ejemplos&amp;sort=-caso_uso_2_entidad</x:v>
      </x:c>
    </x:row>
    <x:row r="32" ht="49" customHeight="1">
      <x:c r="A32" s="14" t="str">
        <x:v>CITY-031</x:v>
      </x:c>
      <x:c r="B32" s="14" t="str">
        <x:v>Alcalá de Henares</x:v>
      </x:c>
      <x:c r="C32" s="14" t="str">
        <x:v>Comunidad de Madrid</x:v>
      </x:c>
      <x:c r="D32" s="14" t="str">
        <x:v>city_specific_dataset_identified</x:v>
      </x:c>
      <x:c r="E32" s="14" t="str">
        <x:v>ALC-PARKING | ES-POP</x:v>
      </x:c>
      <x:c r="F32" s="14" t="str">
        <x:v>https://opendata.ayto-alcaladehenares.es/</x:v>
      </x:c>
      <x:c r="G32" s="14" t="str">
        <x:v>official_portal_observed</x:v>
      </x:c>
      <x:c r="H32" s="14" t="str">
        <x:v>Dataset page, distribution link or API documentation found; see per-dataset caveats.</x:v>
      </x:c>
      <x:c r="I32" s="14" t="str">
        <x:v>https://opendata.ayto-alcaladehenares.es/</x:v>
      </x:c>
    </x:row>
    <x:row r="33" ht="62" customHeight="1">
      <x:c r="A33" s="4" t="str">
        <x:v>CITY-032</x:v>
      </x:c>
      <x:c r="B33" s="4" t="str">
        <x:v>Leganés</x:v>
      </x:c>
      <x:c r="C33" s="4" t="str">
        <x:v>Comunidad de Madrid</x:v>
      </x:c>
      <x:c r="D33" s="4" t="str">
        <x:v>national_baseline_only</x:v>
      </x:c>
      <x:c r="E33" s="4" t="str">
        <x:v>ES-POP</x:v>
      </x:c>
      <x:c r="F33" s="4" t="str"/>
      <x:c r="G33" s="4" t="str">
        <x:v>not_verified</x:v>
      </x:c>
      <x:c r="H33" s="4" t="str">
        <x:v>No suitable local or regional dataset verified in this pass. INE baseline only; this is a coverage gap, not proof that none exists.</x:v>
      </x:c>
      <x:c r="I33" s="4" t="str">
        <x:v>https://www.ine.es/jaxiT3/Tabla.htm?t=68065</x:v>
      </x:c>
    </x:row>
    <x:row r="34" ht="75" customHeight="1">
      <x:c r="A34" s="14" t="str">
        <x:v>CITY-033</x:v>
      </x:c>
      <x:c r="B34" s="14" t="str">
        <x:v>Getafe</x:v>
      </x:c>
      <x:c r="C34" s="14" t="str">
        <x:v>Comunidad de Madrid</x:v>
      </x:c>
      <x:c r="D34" s="14" t="str">
        <x:v>national_baseline_only</x:v>
      </x:c>
      <x:c r="E34" s="14" t="str">
        <x:v>ES-POP</x:v>
      </x:c>
      <x:c r="F34" s="14" t="str">
        <x:v>https://gobiernoabierto.getafe.es/datos</x:v>
      </x:c>
      <x:c r="G34" s="14" t="str">
        <x:v>official_directory_lead_access_unconfirmed</x:v>
      </x:c>
      <x:c r="H34" s="14" t="str">
        <x:v>No suitable local or regional dataset verified in this pass. INE baseline only; this is a coverage gap, not proof that none exists. Budget/procurement leads listed by FEMP; row exports not verified.</x:v>
      </x:c>
      <x:c r="I34" s="14" t="str">
        <x:v>https://datosabiertosfemp.es/frontend/web/index.php?r=entidades/index</x:v>
      </x:c>
    </x:row>
    <x:row r="35" ht="49" customHeight="1">
      <x:c r="A35" s="4" t="str">
        <x:v>CITY-034</x:v>
      </x:c>
      <x:c r="B35" s="4" t="str">
        <x:v>Fuenlabrada</x:v>
      </x:c>
      <x:c r="C35" s="4" t="str">
        <x:v>Comunidad de Madrid</x:v>
      </x:c>
      <x:c r="D35" s="4" t="str">
        <x:v>city_specific_dataset_identified</x:v>
      </x:c>
      <x:c r="E35" s="4" t="str">
        <x:v>FUE-WATER | ES-POP</x:v>
      </x:c>
      <x:c r="F35" s="4" t="str">
        <x:v>https://datosabiertos.ayto-fuenlabrada.es/</x:v>
      </x:c>
      <x:c r="G35" s="4" t="str">
        <x:v>official_portal_observed</x:v>
      </x:c>
      <x:c r="H35" s="4" t="str">
        <x:v>Dataset page, distribution link or API documentation found; see per-dataset caveats.</x:v>
      </x:c>
      <x:c r="I35" s="4" t="str">
        <x:v>https://datosabiertos.ayto-fuenlabrada.es/</x:v>
      </x:c>
    </x:row>
    <x:row r="36" ht="49" customHeight="1">
      <x:c r="A36" s="14" t="str">
        <x:v>CITY-035</x:v>
      </x:c>
      <x:c r="B36" s="14" t="str">
        <x:v>Donostia/San Sebastián</x:v>
      </x:c>
      <x:c r="C36" s="14" t="str">
        <x:v>Euskadi</x:v>
      </x:c>
      <x:c r="D36" s="14" t="str">
        <x:v>city_specific_dataset_identified</x:v>
      </x:c>
      <x:c r="E36" s="14" t="str">
        <x:v>DON-ADDRESSES | EUS-SPORT | ES-POP</x:v>
      </x:c>
      <x:c r="F36" s="14" t="str">
        <x:v>https://www.donostia.eus/datosabiertos/catalogo</x:v>
      </x:c>
      <x:c r="G36" s="14" t="str">
        <x:v>official_portal_observed</x:v>
      </x:c>
      <x:c r="H36" s="14" t="str">
        <x:v>Dataset page, distribution link or API documentation found; see per-dataset caveats.</x:v>
      </x:c>
      <x:c r="I36" s="14" t="str">
        <x:v>https://www.donostia.eus/datosabiertos/catalogo</x:v>
      </x:c>
    </x:row>
    <x:row r="37" ht="42" customHeight="1">
      <x:c r="A37" s="4" t="str">
        <x:v>CITY-036</x:v>
      </x:c>
      <x:c r="B37" s="4" t="str">
        <x:v>Castelló de la Plana</x:v>
      </x:c>
      <x:c r="C37" s="4" t="str">
        <x:v>Comunitat Valenciana</x:v>
      </x:c>
      <x:c r="D37" s="4" t="str">
        <x:v>regional_dataset_requires_city_filter</x:v>
      </x:c>
      <x:c r="E37" s="4" t="str">
        <x:v>VAL-SCHOOLS | ES-POP</x:v>
      </x:c>
      <x:c r="F37" s="4" t="str"/>
      <x:c r="G37" s="4" t="str">
        <x:v>not_verified</x:v>
      </x:c>
      <x:c r="H37" s="4" t="str">
        <x:v>No municipality-specific export verified; regional data plus INE baseline provided.</x:v>
      </x:c>
      <x:c r="I37" s="4" t="str">
        <x:v>https://dadesobertes.gva.es/es/dataset/edu-centros</x:v>
      </x:c>
    </x:row>
    <x:row r="38" ht="42" customHeight="1">
      <x:c r="A38" s="14" t="str">
        <x:v>CITY-037</x:v>
      </x:c>
      <x:c r="B38" s="14" t="str">
        <x:v>Burgos</x:v>
      </x:c>
      <x:c r="C38" s="14" t="str">
        <x:v>Castilla y León</x:v>
      </x:c>
      <x:c r="D38" s="14" t="str">
        <x:v>regional_dataset_requires_city_filter</x:v>
      </x:c>
      <x:c r="E38" s="14" t="str">
        <x:v>CYL-MONUMENTS | ES-POP</x:v>
      </x:c>
      <x:c r="F38" s="14" t="str"/>
      <x:c r="G38" s="14" t="str">
        <x:v>not_verified</x:v>
      </x:c>
      <x:c r="H38" s="14" t="str">
        <x:v>No municipality-specific export verified; regional data plus INE baseline provided.</x:v>
      </x:c>
      <x:c r="I38" s="14" t="str">
        <x:v>https://analisis.datosabiertos.jcyl.es/explore/dataset/relacion-monumentos/information/</x:v>
      </x:c>
    </x:row>
    <x:row r="39" ht="62" customHeight="1">
      <x:c r="A39" s="4" t="str">
        <x:v>CITY-038</x:v>
      </x:c>
      <x:c r="B39" s="4" t="str">
        <x:v>Albacete</x:v>
      </x:c>
      <x:c r="C39" s="4" t="str">
        <x:v>Castilla-La Mancha</x:v>
      </x:c>
      <x:c r="D39" s="4" t="str">
        <x:v>national_baseline_only</x:v>
      </x:c>
      <x:c r="E39" s="4" t="str">
        <x:v>ES-POP</x:v>
      </x:c>
      <x:c r="F39" s="4" t="str"/>
      <x:c r="G39" s="4" t="str">
        <x:v>not_verified</x:v>
      </x:c>
      <x:c r="H39" s="4" t="str">
        <x:v>No suitable local or regional dataset verified in this pass. INE baseline only; this is a coverage gap, not proof that none exists.</x:v>
      </x:c>
      <x:c r="I39" s="4" t="str">
        <x:v>https://www.ine.es/jaxiT3/Tabla.htm?t=68065</x:v>
      </x:c>
    </x:row>
    <x:row r="40" ht="49" customHeight="1">
      <x:c r="A40" s="14" t="str">
        <x:v>CITY-039</x:v>
      </x:c>
      <x:c r="B40" s="14" t="str">
        <x:v>Santander</x:v>
      </x:c>
      <x:c r="C40" s="14" t="str">
        <x:v>Cantabria</x:v>
      </x:c>
      <x:c r="D40" s="14" t="str">
        <x:v>city_specific_dataset_identified</x:v>
      </x:c>
      <x:c r="E40" s="14" t="str">
        <x:v>SAN-GTFS | ES-POP</x:v>
      </x:c>
      <x:c r="F40" s="14" t="str">
        <x:v>https://datos.santander.es/</x:v>
      </x:c>
      <x:c r="G40" s="14" t="str">
        <x:v>official_portal_observed</x:v>
      </x:c>
      <x:c r="H40" s="14" t="str">
        <x:v>Dataset page, distribution link or API documentation found; see per-dataset caveats.</x:v>
      </x:c>
      <x:c r="I40" s="14" t="str">
        <x:v>https://datos.santander.es/</x:v>
      </x:c>
    </x:row>
    <x:row r="41" ht="62" customHeight="1">
      <x:c r="A41" s="4" t="str">
        <x:v>CITY-040</x:v>
      </x:c>
      <x:c r="B41" s="4" t="str">
        <x:v>Alcorcón</x:v>
      </x:c>
      <x:c r="C41" s="4" t="str">
        <x:v>Comunidad de Madrid</x:v>
      </x:c>
      <x:c r="D41" s="4" t="str">
        <x:v>national_baseline_only</x:v>
      </x:c>
      <x:c r="E41" s="4" t="str">
        <x:v>ES-POP</x:v>
      </x:c>
      <x:c r="F41" s="4" t="str"/>
      <x:c r="G41" s="4" t="str">
        <x:v>not_verified</x:v>
      </x:c>
      <x:c r="H41" s="4" t="str">
        <x:v>No suitable local or regional dataset verified in this pass. INE baseline only; this is a coverage gap, not proof that none exists.</x:v>
      </x:c>
      <x:c r="I41" s="4" t="str">
        <x:v>https://www.ine.es/jaxiT3/Tabla.htm?t=68065</x:v>
      </x:c>
    </x:row>
    <x:row r="42" ht="62" customHeight="1">
      <x:c r="A42" s="14" t="str">
        <x:v>CITY-041</x:v>
      </x:c>
      <x:c r="B42" s="14" t="str">
        <x:v>San Cristóbal de La Laguna</x:v>
      </x:c>
      <x:c r="C42" s="14" t="str">
        <x:v>Canarias</x:v>
      </x:c>
      <x:c r="D42" s="14" t="str">
        <x:v>national_baseline_only</x:v>
      </x:c>
      <x:c r="E42" s="14" t="str">
        <x:v>ES-POP</x:v>
      </x:c>
      <x:c r="F42" s="14" t="str"/>
      <x:c r="G42" s="14" t="str">
        <x:v>not_verified</x:v>
      </x:c>
      <x:c r="H42" s="14" t="str">
        <x:v>No suitable local or regional dataset verified in this pass. INE baseline only; this is a coverage gap, not proof that none exists.</x:v>
      </x:c>
      <x:c r="I42" s="14" t="str">
        <x:v>https://www.ine.es/jaxiT3/Tabla.htm?t=68065</x:v>
      </x:c>
    </x:row>
    <x:row r="43" ht="49" customHeight="1">
      <x:c r="A43" s="4" t="str">
        <x:v>CITY-042</x:v>
      </x:c>
      <x:c r="B43" s="4" t="str">
        <x:v>Marbella</x:v>
      </x:c>
      <x:c r="C43" s="4" t="str">
        <x:v>Andalucía</x:v>
      </x:c>
      <x:c r="D43" s="4" t="str">
        <x:v>regional_dataset_requires_city_filter</x:v>
      </x:c>
      <x:c r="E43" s="4" t="str">
        <x:v>AND-SPORT | ES-POP</x:v>
      </x:c>
      <x:c r="F43" s="4" t="str"/>
      <x:c r="G43" s="4" t="str">
        <x:v>not_verified</x:v>
      </x:c>
      <x:c r="H43" s="4" t="str">
        <x:v>No municipality-specific export verified; regional data plus INE baseline provided.</x:v>
      </x:c>
      <x:c r="I43" s="4" t="str">
        <x:v>https://www.juntadeandalucia.es/datosabiertos/portal/dataset/censo-de-instalaciones-deportivas</x:v>
      </x:c>
    </x:row>
    <x:row r="44" ht="49" customHeight="1">
      <x:c r="A44" s="14" t="str">
        <x:v>CITY-043</x:v>
      </x:c>
      <x:c r="B44" s="14" t="str">
        <x:v>Logroño</x:v>
      </x:c>
      <x:c r="C44" s="14" t="str">
        <x:v>La Rioja</x:v>
      </x:c>
      <x:c r="D44" s="14" t="str">
        <x:v>city_specific_dataset_identified</x:v>
      </x:c>
      <x:c r="E44" s="14" t="str">
        <x:v>LOG-METEO | ES-POP</x:v>
      </x:c>
      <x:c r="F44" s="14" t="str">
        <x:v>https://opendata.logrono.es/</x:v>
      </x:c>
      <x:c r="G44" s="14" t="str">
        <x:v>official_portal_observed</x:v>
      </x:c>
      <x:c r="H44" s="14" t="str">
        <x:v>Dataset page, distribution link or API documentation found; see per-dataset caveats.</x:v>
      </x:c>
      <x:c r="I44" s="14" t="str">
        <x:v>https://opendata.logrono.es/</x:v>
      </x:c>
    </x:row>
    <x:row r="45" ht="75" customHeight="1">
      <x:c r="A45" s="4" t="str">
        <x:v>CITY-044</x:v>
      </x:c>
      <x:c r="B45" s="4" t="str">
        <x:v>Badajoz</x:v>
      </x:c>
      <x:c r="C45" s="4" t="str">
        <x:v>Extremadura</x:v>
      </x:c>
      <x:c r="D45" s="4" t="str">
        <x:v>national_baseline_only</x:v>
      </x:c>
      <x:c r="E45" s="4" t="str">
        <x:v>ES-POP</x:v>
      </x:c>
      <x:c r="F45" s="4" t="str">
        <x:v>http://datos.aytobadajoz.es</x:v>
      </x:c>
      <x:c r="G45" s="4" t="str">
        <x:v>official_directory_lead_access_unconfirmed</x:v>
      </x:c>
      <x:c r="H45" s="4" t="str">
        <x:v>No suitable local or regional dataset verified in this pass. INE baseline only; this is a coverage gap, not proof that none exists. FEMP portal lead; direct access was not confirmed.</x:v>
      </x:c>
      <x:c r="I45" s="4" t="str">
        <x:v>https://datosabiertosfemp.es/frontend/web/index.php?r=entidades/index</x:v>
      </x:c>
    </x:row>
    <x:row r="46" ht="42" customHeight="1">
      <x:c r="A46" s="14" t="str">
        <x:v>CITY-045</x:v>
      </x:c>
      <x:c r="B46" s="14" t="str">
        <x:v>Lleida</x:v>
      </x:c>
      <x:c r="C46" s="14" t="str">
        <x:v>Catalunya</x:v>
      </x:c>
      <x:c r="D46" s="14" t="str">
        <x:v>regional_dataset_requires_city_filter</x:v>
      </x:c>
      <x:c r="E46" s="14" t="str">
        <x:v>CAT-BUDGET | ES-POP</x:v>
      </x:c>
      <x:c r="F46" s="14" t="str">
        <x:v>https://seu-e.cat/ca/web/lleida/dades-obertes</x:v>
      </x:c>
      <x:c r="G46" s="14" t="str">
        <x:v>official_portal_observed</x:v>
      </x:c>
      <x:c r="H46" s="14" t="str">
        <x:v>No municipality-specific export verified; regional data plus INE baseline provided.</x:v>
      </x:c>
      <x:c r="I46" s="14" t="str">
        <x:v>https://seu-e.cat/ca/web/lleida/dades-obertes</x:v>
      </x:c>
    </x:row>
    <x:row r="47" ht="49" customHeight="1">
      <x:c r="A47" s="4" t="str">
        <x:v>CITY-046</x:v>
      </x:c>
      <x:c r="B47" s="4" t="str">
        <x:v>Huelva</x:v>
      </x:c>
      <x:c r="C47" s="4" t="str">
        <x:v>Andalucía</x:v>
      </x:c>
      <x:c r="D47" s="4" t="str">
        <x:v>regional_dataset_requires_city_filter</x:v>
      </x:c>
      <x:c r="E47" s="4" t="str">
        <x:v>AND-SPORT | ES-POP</x:v>
      </x:c>
      <x:c r="F47" s="4" t="str"/>
      <x:c r="G47" s="4" t="str">
        <x:v>not_verified</x:v>
      </x:c>
      <x:c r="H47" s="4" t="str">
        <x:v>No municipality-specific export verified; regional data plus INE baseline provided.</x:v>
      </x:c>
      <x:c r="I47" s="4" t="str">
        <x:v>https://www.juntadeandalucia.es/datosabiertos/portal/dataset/censo-de-instalaciones-deportivas</x:v>
      </x:c>
    </x:row>
    <x:row r="48" ht="42" customHeight="1">
      <x:c r="A48" s="14" t="str">
        <x:v>CITY-047</x:v>
      </x:c>
      <x:c r="B48" s="14" t="str">
        <x:v>Salamanca</x:v>
      </x:c>
      <x:c r="C48" s="14" t="str">
        <x:v>Castilla y León</x:v>
      </x:c>
      <x:c r="D48" s="14" t="str">
        <x:v>regional_dataset_requires_city_filter</x:v>
      </x:c>
      <x:c r="E48" s="14" t="str">
        <x:v>CYL-MONUMENTS | ES-POP</x:v>
      </x:c>
      <x:c r="F48" s="14" t="str"/>
      <x:c r="G48" s="14" t="str">
        <x:v>not_verified</x:v>
      </x:c>
      <x:c r="H48" s="14" t="str">
        <x:v>No municipality-specific export verified; regional data plus INE baseline provided.</x:v>
      </x:c>
      <x:c r="I48" s="14" t="str">
        <x:v>https://analisis.datosabiertos.jcyl.es/explore/dataset/relacion-monumentos/information/</x:v>
      </x:c>
    </x:row>
    <x:row r="49" ht="42" customHeight="1">
      <x:c r="A49" s="4" t="str">
        <x:v>CITY-048</x:v>
      </x:c>
      <x:c r="B49" s="4" t="str">
        <x:v>Tarragona</x:v>
      </x:c>
      <x:c r="C49" s="4" t="str">
        <x:v>Catalunya</x:v>
      </x:c>
      <x:c r="D49" s="4" t="str">
        <x:v>regional_dataset_requires_city_filter</x:v>
      </x:c>
      <x:c r="E49" s="4" t="str">
        <x:v>CAT-BUDGET | ES-POP</x:v>
      </x:c>
      <x:c r="F49" s="4" t="str">
        <x:v>https://seu-e.cat/ca/web/tarragona/dades-obertes</x:v>
      </x:c>
      <x:c r="G49" s="4" t="str">
        <x:v>official_portal_observed</x:v>
      </x:c>
      <x:c r="H49" s="4" t="str">
        <x:v>No municipality-specific export verified; regional data plus INE baseline provided.</x:v>
      </x:c>
      <x:c r="I49" s="4" t="str">
        <x:v>https://seu-e.cat/ca/web/tarragona/dades-obertes</x:v>
      </x:c>
    </x:row>
    <x:row r="50" ht="49" customHeight="1">
      <x:c r="A50" s="14" t="str">
        <x:v>CITY-049</x:v>
      </x:c>
      <x:c r="B50" s="14" t="str">
        <x:v>Dos Hermanas</x:v>
      </x:c>
      <x:c r="C50" s="14" t="str">
        <x:v>Andalucía</x:v>
      </x:c>
      <x:c r="D50" s="14" t="str">
        <x:v>regional_dataset_requires_city_filter</x:v>
      </x:c>
      <x:c r="E50" s="14" t="str">
        <x:v>AND-SPORT | ES-POP</x:v>
      </x:c>
      <x:c r="F50" s="14" t="str"/>
      <x:c r="G50" s="14" t="str">
        <x:v>not_verified</x:v>
      </x:c>
      <x:c r="H50" s="14" t="str">
        <x:v>No municipality-specific export verified; regional data plus INE baseline provided.</x:v>
      </x:c>
      <x:c r="I50" s="14" t="str">
        <x:v>https://www.juntadeandalucia.es/datosabiertos/portal/dataset/censo-de-instalaciones-deportivas</x:v>
      </x:c>
    </x:row>
    <x:row r="51" ht="62" customHeight="1">
      <x:c r="A51" s="4" t="str">
        <x:v>CITY-050</x:v>
      </x:c>
      <x:c r="B51" s="4" t="str">
        <x:v>Torrejón de Ardoz</x:v>
      </x:c>
      <x:c r="C51" s="4" t="str">
        <x:v>Comunidad de Madrid</x:v>
      </x:c>
      <x:c r="D51" s="4" t="str">
        <x:v>national_baseline_only</x:v>
      </x:c>
      <x:c r="E51" s="4" t="str">
        <x:v>ES-POP</x:v>
      </x:c>
      <x:c r="F51" s="4" t="str"/>
      <x:c r="G51" s="4" t="str">
        <x:v>not_verified</x:v>
      </x:c>
      <x:c r="H51" s="4" t="str">
        <x:v>No suitable local or regional dataset verified in this pass. INE baseline only; this is a coverage gap, not proof that none exists.</x:v>
      </x:c>
      <x:c r="I51" s="4" t="str">
        <x:v>https://www.ine.es/jaxiT3/Tabla.htm?t=68065</x:v>
      </x:c>
    </x:row>
    <x:row r="52" ht="42" customHeight="1">
      <x:c r="A52" s="14" t="str">
        <x:v>CITY-051</x:v>
      </x:c>
      <x:c r="B52" s="14" t="str">
        <x:v>Mataró</x:v>
      </x:c>
      <x:c r="C52" s="14" t="str">
        <x:v>Catalunya</x:v>
      </x:c>
      <x:c r="D52" s="14" t="str">
        <x:v>regional_dataset_requires_city_filter</x:v>
      </x:c>
      <x:c r="E52" s="14" t="str">
        <x:v>CAT-BUDGET | ES-POP</x:v>
      </x:c>
      <x:c r="F52" s="14" t="str">
        <x:v>https://seu-e.cat/ca/web/mataro/dades-obertes</x:v>
      </x:c>
      <x:c r="G52" s="14" t="str">
        <x:v>official_portal_observed</x:v>
      </x:c>
      <x:c r="H52" s="14" t="str">
        <x:v>No municipality-specific export verified; regional data plus INE baseline provided.</x:v>
      </x:c>
      <x:c r="I52" s="14" t="str">
        <x:v>https://seu-e.cat/ca/web/mataro/dades-obertes</x:v>
      </x:c>
    </x:row>
    <x:row r="53" ht="62" customHeight="1">
      <x:c r="A53" s="4" t="str">
        <x:v>CITY-052</x:v>
      </x:c>
      <x:c r="B53" s="4" t="str">
        <x:v>Parla</x:v>
      </x:c>
      <x:c r="C53" s="4" t="str">
        <x:v>Comunidad de Madrid</x:v>
      </x:c>
      <x:c r="D53" s="4" t="str">
        <x:v>national_baseline_only</x:v>
      </x:c>
      <x:c r="E53" s="4" t="str">
        <x:v>ES-POP</x:v>
      </x:c>
      <x:c r="F53" s="4" t="str"/>
      <x:c r="G53" s="4" t="str">
        <x:v>not_verified</x:v>
      </x:c>
      <x:c r="H53" s="4" t="str">
        <x:v>No suitable local or regional dataset verified in this pass. INE baseline only; this is a coverage gap, not proof that none exists.</x:v>
      </x:c>
      <x:c r="I53" s="4" t="str">
        <x:v>https://www.ine.es/jaxiT3/Tabla.htm?t=68065</x:v>
      </x:c>
    </x:row>
    <x:row r="54" ht="42" customHeight="1">
      <x:c r="A54" s="14" t="str">
        <x:v>CITY-053</x:v>
      </x:c>
      <x:c r="B54" s="14" t="str">
        <x:v>León</x:v>
      </x:c>
      <x:c r="C54" s="14" t="str">
        <x:v>Castilla y León</x:v>
      </x:c>
      <x:c r="D54" s="14" t="str">
        <x:v>regional_dataset_requires_city_filter</x:v>
      </x:c>
      <x:c r="E54" s="14" t="str">
        <x:v>CYL-MONUMENTS | ES-POP</x:v>
      </x:c>
      <x:c r="F54" s="14" t="str"/>
      <x:c r="G54" s="14" t="str">
        <x:v>not_verified</x:v>
      </x:c>
      <x:c r="H54" s="14" t="str">
        <x:v>No municipality-specific export verified; regional data plus INE baseline provided.</x:v>
      </x:c>
      <x:c r="I54" s="14" t="str">
        <x:v>https://analisis.datosabiertos.jcyl.es/explore/dataset/relacion-monumentos/information/</x:v>
      </x:c>
    </x:row>
    <x:row r="55" ht="49" customHeight="1">
      <x:c r="A55" s="4" t="str">
        <x:v>CITY-054</x:v>
      </x:c>
      <x:c r="B55" s="4" t="str">
        <x:v>Alcobendas</x:v>
      </x:c>
      <x:c r="C55" s="4" t="str">
        <x:v>Comunidad de Madrid</x:v>
      </x:c>
      <x:c r="D55" s="4" t="str">
        <x:v>city_specific_dataset_identified</x:v>
      </x:c>
      <x:c r="E55" s="4" t="str">
        <x:v>ALB-METRO | ES-POP</x:v>
      </x:c>
      <x:c r="F55" s="4" t="str">
        <x:v>https://datos.alcobendas.org/</x:v>
      </x:c>
      <x:c r="G55" s="4" t="str">
        <x:v>official_portal_observed</x:v>
      </x:c>
      <x:c r="H55" s="4" t="str">
        <x:v>Dataset page, distribution link or API documentation found; see per-dataset caveats.</x:v>
      </x:c>
      <x:c r="I55" s="4" t="str">
        <x:v>https://datos.alcobendas.org/</x:v>
      </x:c>
    </x:row>
    <x:row r="56" ht="49" customHeight="1">
      <x:c r="A56" s="14" t="str">
        <x:v>CITY-055</x:v>
      </x:c>
      <x:c r="B56" s="14" t="str">
        <x:v>Algeciras</x:v>
      </x:c>
      <x:c r="C56" s="14" t="str">
        <x:v>Andalucía</x:v>
      </x:c>
      <x:c r="D56" s="14" t="str">
        <x:v>regional_dataset_requires_city_filter</x:v>
      </x:c>
      <x:c r="E56" s="14" t="str">
        <x:v>AND-SPORT | ES-POP</x:v>
      </x:c>
      <x:c r="F56" s="14" t="str"/>
      <x:c r="G56" s="14" t="str">
        <x:v>not_verified</x:v>
      </x:c>
      <x:c r="H56" s="14" t="str">
        <x:v>No municipality-specific export verified; regional data plus INE baseline provided.</x:v>
      </x:c>
      <x:c r="I56" s="14" t="str">
        <x:v>https://www.juntadeandalucia.es/datosabiertos/portal/dataset/censo-de-instalaciones-deportivas</x:v>
      </x:c>
    </x:row>
    <x:row r="57" ht="42" customHeight="1">
      <x:c r="A57" s="4" t="str">
        <x:v>CITY-056</x:v>
      </x:c>
      <x:c r="B57" s="4" t="str">
        <x:v>Santa Coloma de Gramenet</x:v>
      </x:c>
      <x:c r="C57" s="4" t="str">
        <x:v>Catalunya</x:v>
      </x:c>
      <x:c r="D57" s="4" t="str">
        <x:v>regional_dataset_requires_city_filter</x:v>
      </x:c>
      <x:c r="E57" s="4" t="str">
        <x:v>CAT-BUDGET | ES-POP</x:v>
      </x:c>
      <x:c r="F57" s="4" t="str">
        <x:v>https://seu-e.cat/ca/web/santacolomadegramenet/dades-obertes</x:v>
      </x:c>
      <x:c r="G57" s="4" t="str">
        <x:v>official_portal_observed</x:v>
      </x:c>
      <x:c r="H57" s="4" t="str">
        <x:v>No municipality-specific export verified; regional data plus INE baseline provided.</x:v>
      </x:c>
      <x:c r="I57" s="4" t="str">
        <x:v>https://seu-e.cat/ca/web/santacolomadegramenet/dades-obertes</x:v>
      </x:c>
    </x:row>
    <x:row r="58" ht="49" customHeight="1">
      <x:c r="A58" s="14" t="str">
        <x:v>CITY-057</x:v>
      </x:c>
      <x:c r="B58" s="14" t="str">
        <x:v>Cádiz</x:v>
      </x:c>
      <x:c r="C58" s="14" t="str">
        <x:v>Andalucía</x:v>
      </x:c>
      <x:c r="D58" s="14" t="str">
        <x:v>regional_dataset_requires_city_filter</x:v>
      </x:c>
      <x:c r="E58" s="14" t="str">
        <x:v>AND-SPORT | ES-POP</x:v>
      </x:c>
      <x:c r="F58" s="14" t="str"/>
      <x:c r="G58" s="14" t="str">
        <x:v>not_verified</x:v>
      </x:c>
      <x:c r="H58" s="14" t="str">
        <x:v>No municipality-specific export verified; regional data plus INE baseline provided.</x:v>
      </x:c>
      <x:c r="I58" s="14" t="str">
        <x:v>https://www.juntadeandalucia.es/datosabiertos/portal/dataset/censo-de-instalaciones-deportivas</x:v>
      </x:c>
    </x:row>
    <x:row r="59" ht="49" customHeight="1">
      <x:c r="A59" s="4" t="str">
        <x:v>CITY-058</x:v>
      </x:c>
      <x:c r="B59" s="4" t="str">
        <x:v>Jaén</x:v>
      </x:c>
      <x:c r="C59" s="4" t="str">
        <x:v>Andalucía</x:v>
      </x:c>
      <x:c r="D59" s="4" t="str">
        <x:v>regional_dataset_requires_city_filter</x:v>
      </x:c>
      <x:c r="E59" s="4" t="str">
        <x:v>AND-SPORT | ES-POP</x:v>
      </x:c>
      <x:c r="F59" s="4" t="str"/>
      <x:c r="G59" s="4" t="str">
        <x:v>not_verified</x:v>
      </x:c>
      <x:c r="H59" s="4" t="str">
        <x:v>No municipality-specific export verified; regional data plus INE baseline provided.</x:v>
      </x:c>
      <x:c r="I59" s="4" t="str">
        <x:v>https://www.juntadeandalucia.es/datosabiertos/portal/dataset/censo-de-instalaciones-deportivas</x:v>
      </x:c>
    </x:row>
    <x:row r="60" ht="42" customHeight="1">
      <x:c r="A60" s="14" t="str">
        <x:v>CITY-059</x:v>
      </x:c>
      <x:c r="B60" s="14" t="str">
        <x:v>Reus</x:v>
      </x:c>
      <x:c r="C60" s="14" t="str">
        <x:v>Catalunya</x:v>
      </x:c>
      <x:c r="D60" s="14" t="str">
        <x:v>regional_dataset_requires_city_filter</x:v>
      </x:c>
      <x:c r="E60" s="14" t="str">
        <x:v>CAT-BUDGET | ES-POP</x:v>
      </x:c>
      <x:c r="F60" s="14" t="str">
        <x:v>https://opendata.reus.cat/</x:v>
      </x:c>
      <x:c r="G60" s="14" t="str">
        <x:v>official_portal_observed</x:v>
      </x:c>
      <x:c r="H60" s="14" t="str">
        <x:v>No municipality-specific export verified; regional data plus INE baseline provided.</x:v>
      </x:c>
      <x:c r="I60" s="14" t="str">
        <x:v>https://opendata.reus.cat/</x:v>
      </x:c>
    </x:row>
    <x:row r="61" ht="49" customHeight="1">
      <x:c r="A61" s="4" t="str">
        <x:v>CITY-060</x:v>
      </x:c>
      <x:c r="B61" s="4" t="str">
        <x:v>Roquetas de Mar</x:v>
      </x:c>
      <x:c r="C61" s="4" t="str">
        <x:v>Andalucía</x:v>
      </x:c>
      <x:c r="D61" s="4" t="str">
        <x:v>regional_dataset_requires_city_filter</x:v>
      </x:c>
      <x:c r="E61" s="4" t="str">
        <x:v>AND-SPORT | ES-POP</x:v>
      </x:c>
      <x:c r="F61" s="4" t="str"/>
      <x:c r="G61" s="4" t="str">
        <x:v>not_verified</x:v>
      </x:c>
      <x:c r="H61" s="4" t="str">
        <x:v>No municipality-specific export verified; regional data plus INE baseline provided.</x:v>
      </x:c>
      <x:c r="I61" s="4" t="str">
        <x:v>https://www.juntadeandalucia.es/datosabiertos/portal/dataset/censo-de-instalaciones-deportivas</x:v>
      </x:c>
    </x:row>
    <x:row r="62" ht="49" customHeight="1">
      <x:c r="A62" s="14" t="str">
        <x:v>CITY-061</x:v>
      </x:c>
      <x:c r="B62" s="14" t="str">
        <x:v>Girona</x:v>
      </x:c>
      <x:c r="C62" s="14" t="str">
        <x:v>Catalunya</x:v>
      </x:c>
      <x:c r="D62" s="14" t="str">
        <x:v>city_specific_dataset_identified</x:v>
      </x:c>
      <x:c r="E62" s="14" t="str">
        <x:v>GIR-PERMITS | CAT-BUDGET | ES-POP</x:v>
      </x:c>
      <x:c r="F62" s="14" t="str">
        <x:v>https://www.girona.cat/opendata/</x:v>
      </x:c>
      <x:c r="G62" s="14" t="str">
        <x:v>official_portal_observed</x:v>
      </x:c>
      <x:c r="H62" s="14" t="str">
        <x:v>Dataset page, distribution link or API documentation found; see per-dataset caveats.</x:v>
      </x:c>
      <x:c r="I62" s="14" t="str">
        <x:v>https://www.girona.cat/opendata/</x:v>
      </x:c>
    </x:row>
    <x:row r="63" ht="62" customHeight="1">
      <x:c r="A63" s="4" t="str">
        <x:v>CITY-062</x:v>
      </x:c>
      <x:c r="B63" s="4" t="str">
        <x:v>Ourense</x:v>
      </x:c>
      <x:c r="C63" s="4" t="str">
        <x:v>Galicia</x:v>
      </x:c>
      <x:c r="D63" s="4" t="str">
        <x:v>national_baseline_only</x:v>
      </x:c>
      <x:c r="E63" s="4" t="str">
        <x:v>ES-POP</x:v>
      </x:c>
      <x:c r="F63" s="4" t="str"/>
      <x:c r="G63" s="4" t="str">
        <x:v>not_verified</x:v>
      </x:c>
      <x:c r="H63" s="4" t="str">
        <x:v>No suitable local or regional dataset verified in this pass. INE baseline only; this is a coverage gap, not proof that none exists.</x:v>
      </x:c>
      <x:c r="I63" s="4" t="str">
        <x:v>https://www.ine.es/jaxiT3/Tabla.htm?t=68065</x:v>
      </x:c>
    </x:row>
    <x:row r="64" ht="42" customHeight="1">
      <x:c r="A64" s="14" t="str">
        <x:v>CITY-063</x:v>
      </x:c>
      <x:c r="B64" s="14" t="str">
        <x:v>Torrevieja</x:v>
      </x:c>
      <x:c r="C64" s="14" t="str">
        <x:v>Comunitat Valenciana</x:v>
      </x:c>
      <x:c r="D64" s="14" t="str">
        <x:v>regional_dataset_requires_city_filter</x:v>
      </x:c>
      <x:c r="E64" s="14" t="str">
        <x:v>VAL-SCHOOLS | ES-POP</x:v>
      </x:c>
      <x:c r="F64" s="14" t="str"/>
      <x:c r="G64" s="14" t="str">
        <x:v>not_verified</x:v>
      </x:c>
      <x:c r="H64" s="14" t="str">
        <x:v>No municipality-specific export verified; regional data plus INE baseline provided.</x:v>
      </x:c>
      <x:c r="I64" s="14" t="str">
        <x:v>https://dadesobertes.gva.es/es/dataset/edu-centros</x:v>
      </x:c>
    </x:row>
    <x:row r="65" ht="62" customHeight="1">
      <x:c r="A65" s="4" t="str">
        <x:v>CITY-064</x:v>
      </x:c>
      <x:c r="B65" s="4" t="str">
        <x:v>Telde</x:v>
      </x:c>
      <x:c r="C65" s="4" t="str">
        <x:v>Canarias</x:v>
      </x:c>
      <x:c r="D65" s="4" t="str">
        <x:v>national_baseline_only</x:v>
      </x:c>
      <x:c r="E65" s="4" t="str">
        <x:v>ES-POP</x:v>
      </x:c>
      <x:c r="F65" s="4" t="str"/>
      <x:c r="G65" s="4" t="str">
        <x:v>not_verified</x:v>
      </x:c>
      <x:c r="H65" s="4" t="str">
        <x:v>No suitable local or regional dataset verified in this pass. INE baseline only; this is a coverage gap, not proof that none exists.</x:v>
      </x:c>
      <x:c r="I65" s="4" t="str">
        <x:v>https://www.ine.es/jaxiT3/Tabla.htm?t=68065</x:v>
      </x:c>
    </x:row>
    <x:row r="66" ht="42" customHeight="1">
      <x:c r="A66" s="14" t="str">
        <x:v>CITY-065</x:v>
      </x:c>
      <x:c r="B66" s="14" t="str">
        <x:v>Barakaldo</x:v>
      </x:c>
      <x:c r="C66" s="14" t="str">
        <x:v>Euskadi</x:v>
      </x:c>
      <x:c r="D66" s="14" t="str">
        <x:v>regional_dataset_requires_city_filter</x:v>
      </x:c>
      <x:c r="E66" s="14" t="str">
        <x:v>EUS-SPORT | ES-POP</x:v>
      </x:c>
      <x:c r="F66" s="14" t="str"/>
      <x:c r="G66" s="14" t="str">
        <x:v>not_verified</x:v>
      </x:c>
      <x:c r="H66" s="14" t="str">
        <x:v>No municipality-specific export verified; regional data plus INE baseline provided.</x:v>
      </x:c>
      <x:c r="I66" s="14" t="str">
        <x:v>https://opendata.euskadi.eus/catalogo/-/censo-de-instalaciones-deportivas-de-euskadi/</x:v>
      </x:c>
    </x:row>
    <x:row r="67" ht="62" customHeight="1">
      <x:c r="A67" s="4" t="str">
        <x:v>CITY-066</x:v>
      </x:c>
      <x:c r="B67" s="4" t="str">
        <x:v>Lugo</x:v>
      </x:c>
      <x:c r="C67" s="4" t="str">
        <x:v>Galicia</x:v>
      </x:c>
      <x:c r="D67" s="4" t="str">
        <x:v>national_baseline_only</x:v>
      </x:c>
      <x:c r="E67" s="4" t="str">
        <x:v>ES-POP</x:v>
      </x:c>
      <x:c r="F67" s="4" t="str"/>
      <x:c r="G67" s="4" t="str">
        <x:v>not_verified</x:v>
      </x:c>
      <x:c r="H67" s="4" t="str">
        <x:v>No suitable local or regional dataset verified in this pass. INE baseline only; this is a coverage gap, not proof that none exists.</x:v>
      </x:c>
      <x:c r="I67" s="4" t="str">
        <x:v>https://www.ine.es/jaxiT3/Tabla.htm?t=68065</x:v>
      </x:c>
    </x:row>
    <x:row r="68" ht="88" customHeight="1">
      <x:c r="A68" s="14" t="str">
        <x:v>CITY-067</x:v>
      </x:c>
      <x:c r="B68" s="14" t="str">
        <x:v>Santiago de Compostela</x:v>
      </x:c>
      <x:c r="C68" s="14" t="str">
        <x:v>Galicia</x:v>
      </x:c>
      <x:c r="D68" s="14" t="str">
        <x:v>national_baseline_only</x:v>
      </x:c>
      <x:c r="E68" s="14" t="str">
        <x:v>ES-POP</x:v>
      </x:c>
      <x:c r="F68" s="14" t="str">
        <x:v>https://datos.santiagodecompostela.gal/catalogo/gl/dataset/axenda-cultural</x:v>
      </x:c>
      <x:c r="G68" s="14" t="str">
        <x:v>official_directory_lead_access_unconfirmed</x:v>
      </x:c>
      <x:c r="H68" s="14" t="str">
        <x:v>No suitable local or regional dataset verified in this pass. INE baseline only; this is a coverage gap, not proof that none exists. FEMP cultural agenda lead; direct access timed out and format was not verified.</x:v>
      </x:c>
      <x:c r="I68" s="14" t="str">
        <x:v>https://datosabiertosfemp.es/frontend/web/index.php?r=dataset/index_ejemplos&amp;sort=-caso_uso_2_entidad</x:v>
      </x:c>
    </x:row>
    <x:row r="69" ht="62" customHeight="1">
      <x:c r="A69" s="4" t="str">
        <x:v>CITY-068</x:v>
      </x:c>
      <x:c r="B69" s="4" t="str">
        <x:v>Rivas-Vaciamadrid</x:v>
      </x:c>
      <x:c r="C69" s="4" t="str">
        <x:v>Comunidad de Madrid</x:v>
      </x:c>
      <x:c r="D69" s="4" t="str">
        <x:v>national_baseline_only</x:v>
      </x:c>
      <x:c r="E69" s="4" t="str">
        <x:v>ES-POP</x:v>
      </x:c>
      <x:c r="F69" s="4" t="str"/>
      <x:c r="G69" s="4" t="str">
        <x:v>not_verified</x:v>
      </x:c>
      <x:c r="H69" s="4" t="str">
        <x:v>No suitable local or regional dataset verified in this pass. INE baseline only; this is a coverage gap, not proof that none exists.</x:v>
      </x:c>
      <x:c r="I69" s="4" t="str">
        <x:v>https://www.ine.es/jaxiT3/Tabla.htm?t=68065</x:v>
      </x:c>
    </x:row>
    <x:row r="70" ht="42" customHeight="1">
      <x:c r="A70" s="14" t="str">
        <x:v>CITY-069</x:v>
      </x:c>
      <x:c r="B70" s="14" t="str">
        <x:v>Sant Cugat del Vallès</x:v>
      </x:c>
      <x:c r="C70" s="14" t="str">
        <x:v>Catalunya</x:v>
      </x:c>
      <x:c r="D70" s="14" t="str">
        <x:v>regional_dataset_requires_city_filter</x:v>
      </x:c>
      <x:c r="E70" s="14" t="str">
        <x:v>CAT-BUDGET | ES-POP</x:v>
      </x:c>
      <x:c r="F70" s="14" t="str">
        <x:v>https://seu-e.cat/ca/web/santcugatdelvalles/dades-obertes</x:v>
      </x:c>
      <x:c r="G70" s="14" t="str">
        <x:v>official_portal_observed</x:v>
      </x:c>
      <x:c r="H70" s="14" t="str">
        <x:v>No municipality-specific export verified; regional data plus INE baseline provided.</x:v>
      </x:c>
      <x:c r="I70" s="14" t="str">
        <x:v>https://seu-e.cat/ca/web/santcugatdelvalles/dades-obertes</x:v>
      </x:c>
    </x:row>
    <x:row r="71" ht="75" customHeight="1">
      <x:c r="A71" s="4" t="str">
        <x:v>CITY-070</x:v>
      </x:c>
      <x:c r="B71" s="4" t="str">
        <x:v>Lorca</x:v>
      </x:c>
      <x:c r="C71" s="4" t="str">
        <x:v>Región de Murcia</x:v>
      </x:c>
      <x:c r="D71" s="4" t="str">
        <x:v>national_baseline_only</x:v>
      </x:c>
      <x:c r="E71" s="4" t="str">
        <x:v>ES-POP</x:v>
      </x:c>
      <x:c r="F71" s="4" t="str">
        <x:v>https://datos.lorca.es</x:v>
      </x:c>
      <x:c r="G71" s="4" t="str">
        <x:v>official_directory_lead_access_unconfirmed</x:v>
      </x:c>
      <x:c r="H71" s="4" t="str">
        <x:v>No suitable local or regional dataset verified in this pass. INE baseline only; this is a coverage gap, not proof that none exists. FEMP portal lead; direct access timed out.</x:v>
      </x:c>
      <x:c r="I71" s="4" t="str">
        <x:v>https://datosabiertosfemp.es/frontend/web/index.php?r=entidades/index</x:v>
      </x:c>
    </x:row>
    <x:row r="72" ht="62" customHeight="1">
      <x:c r="A72" s="14" t="str">
        <x:v>CITY-071</x:v>
      </x:c>
      <x:c r="B72" s="14" t="str">
        <x:v>Toledo</x:v>
      </x:c>
      <x:c r="C72" s="14" t="str">
        <x:v>Castilla-La Mancha</x:v>
      </x:c>
      <x:c r="D72" s="14" t="str">
        <x:v>national_baseline_only</x:v>
      </x:c>
      <x:c r="E72" s="14" t="str">
        <x:v>ES-POP</x:v>
      </x:c>
      <x:c r="F72" s="14" t="str"/>
      <x:c r="G72" s="14" t="str">
        <x:v>not_verified</x:v>
      </x:c>
      <x:c r="H72" s="14" t="str">
        <x:v>No suitable local or regional dataset verified in this pass. INE baseline only; this is a coverage gap, not proof that none exists.</x:v>
      </x:c>
      <x:c r="I72" s="14" t="str">
        <x:v>https://www.ine.es/jaxiT3/Tabla.htm?t=68065</x:v>
      </x:c>
    </x:row>
    <x:row r="73" ht="62" customHeight="1">
      <x:c r="A73" s="4" t="str">
        <x:v>CITY-072</x:v>
      </x:c>
      <x:c r="B73" s="4" t="str">
        <x:v>Mérida</x:v>
      </x:c>
      <x:c r="C73" s="4" t="str">
        <x:v>Extremadura</x:v>
      </x:c>
      <x:c r="D73" s="4" t="str">
        <x:v>national_baseline_only</x:v>
      </x:c>
      <x:c r="E73" s="4" t="str">
        <x:v>ES-POP</x:v>
      </x:c>
      <x:c r="F73" s="4" t="str"/>
      <x:c r="G73" s="4" t="str">
        <x:v>not_verified</x:v>
      </x:c>
      <x:c r="H73" s="4" t="str">
        <x:v>No suitable local or regional dataset verified in this pass. INE baseline only; this is a coverage gap, not proof that none exists.</x:v>
      </x:c>
      <x:c r="I73" s="4" t="str">
        <x:v>https://www.ine.es/jaxiT3/Tabla.htm?t=68065</x:v>
      </x:c>
    </x:row>
    <x:row r="74" ht="62" customHeight="1">
      <x:c r="A74" s="14" t="str">
        <x:v>CITY-073</x:v>
      </x:c>
      <x:c r="B74" s="14" t="str">
        <x:v>Ceuta</x:v>
      </x:c>
      <x:c r="C74" s="14" t="str">
        <x:v>Ceuta</x:v>
      </x:c>
      <x:c r="D74" s="14" t="str">
        <x:v>national_baseline_only</x:v>
      </x:c>
      <x:c r="E74" s="14" t="str">
        <x:v>ES-POP</x:v>
      </x:c>
      <x:c r="F74" s="14" t="str"/>
      <x:c r="G74" s="14" t="str">
        <x:v>not_verified</x:v>
      </x:c>
      <x:c r="H74" s="14" t="str">
        <x:v>No suitable local or regional dataset verified in this pass. INE baseline only; this is a coverage gap, not proof that none exists.</x:v>
      </x:c>
      <x:c r="I74" s="14" t="str">
        <x:v>https://www.ine.es/jaxiT3/Tabla.htm?t=68065</x:v>
      </x:c>
    </x:row>
    <x:row r="75" ht="62" customHeight="1">
      <x:c r="A75" s="4" t="str">
        <x:v>CITY-074</x:v>
      </x:c>
      <x:c r="B75" s="4" t="str">
        <x:v>Melilla</x:v>
      </x:c>
      <x:c r="C75" s="4" t="str">
        <x:v>Melilla</x:v>
      </x:c>
      <x:c r="D75" s="4" t="str">
        <x:v>national_baseline_only</x:v>
      </x:c>
      <x:c r="E75" s="4" t="str">
        <x:v>ES-POP</x:v>
      </x:c>
      <x:c r="F75" s="4" t="str"/>
      <x:c r="G75" s="4" t="str">
        <x:v>not_verified</x:v>
      </x:c>
      <x:c r="H75" s="4" t="str">
        <x:v>No suitable local or regional dataset verified in this pass. INE baseline only; this is a coverage gap, not proof that none exists.</x:v>
      </x:c>
      <x:c r="I75" s="4" t="str">
        <x:v>https://www.ine.es/jaxiT3/Tabla.htm?t=68065</x:v>
      </x:c>
    </x:row>
  </x:sheetData>
  <x:pageMargins left="0.7" right="0.7" top="0.75" bottom="0.75" header="0.3" footer="0.3"/>
  <x:tableParts count="1">
    <x:tablePart xmlns:r="http://schemas.openxmlformats.org/officeDocument/2006/relationships" r:id="R4769a6369ac04b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0" hidden="0" customWidth="1"/>
    <x:col min="3" max="3" width="32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38" hidden="0" customWidth="1"/>
    <x:col min="9" max="9" width="26" hidden="0" customWidth="1"/>
    <x:col min="10" max="10" width="40" hidden="0" customWidth="1"/>
    <x:col min="11" max="11" width="40" hidden="0" customWidth="1"/>
    <x:col min="12" max="12" width="40" hidden="0" customWidth="1"/>
  </x:cols>
  <x:sheetData>
    <x:row r="1" ht="30" customHeight="1">
      <x:c r="A1" s="10" t="str">
        <x:v>Dataset ID</x:v>
      </x:c>
      <x:c r="B1" s="10" t="str">
        <x:v>Dataset title</x:v>
      </x:c>
      <x:c r="C1" s="10" t="str">
        <x:v>Geographic scope</x:v>
      </x:c>
      <x:c r="D1" s="10" t="str">
        <x:v>Publisher level</x:v>
      </x:c>
      <x:c r="E1" s="10" t="str">
        <x:v>Topic</x:v>
      </x:c>
      <x:c r="F1" s="10" t="str">
        <x:v>Formats</x:v>
      </x:c>
      <x:c r="G1" s="10" t="str">
        <x:v>Priority</x:v>
      </x:c>
      <x:c r="H1" s="10" t="str">
        <x:v>License</x:v>
      </x:c>
      <x:c r="I1" s="10" t="str">
        <x:v>License evidence</x:v>
      </x:c>
      <x:c r="J1" s="10" t="str">
        <x:v>Freshness / update notes</x:v>
      </x:c>
      <x:c r="K1" s="10" t="str">
        <x:v>Use and access notes</x:v>
      </x:c>
      <x:c r="L1" s="10" t="str">
        <x:v>Source URL</x:v>
      </x:c>
    </x:row>
    <x:row r="2" ht="75" customHeight="1">
      <x:c r="A2" s="14" t="str">
        <x:v>ES-POP</x:v>
      </x:c>
      <x:c r="B2" s="14" t="str">
        <x:v>Population by municipality and sex (INE table 68065)</x:v>
      </x:c>
      <x:c r="C2" s="14" t="str">
        <x:v>Nationwide municipal table</x:v>
      </x:c>
      <x:c r="D2" s="14" t="str">
        <x:v>national</x:v>
      </x:c>
      <x:c r="E2" s="14" t="str">
        <x:v>Demographics</x:v>
      </x:c>
      <x:c r="F2" s="14" t="str">
        <x:v>JSON</x:v>
      </x:c>
      <x:c r="G2" s="14" t="str">
        <x:v>baseline</x:v>
      </x:c>
      <x:c r="H2" s="14" t="str">
        <x:v>Not confirmed; review publisher terms</x:v>
      </x:c>
      <x:c r="I2" s="14" t="str">
        <x:v>not_confirmed</x:v>
      </x:c>
      <x:c r="J2" s="14" t="str">
        <x:v>Annual census table. Latest period must be read from returned observations; nult=1 requests the latest observation per series.</x:v>
      </x:c>
      <x:c r="K2" s="14" t="str">
        <x:v>Common baseline for all 74 cities. URL is constructed from the official DATOS_TABLA pattern, not a successfully parsed response. National dataset, not 74 separate municipal feeds.</x:v>
      </x:c>
      <x:c r="L2" s="14" t="str">
        <x:v>https://www.ine.es/jaxiT3/Tabla.htm?t=68065 | https://www.ine.es/dyngs/DAB/index.htm?cid=1102</x:v>
      </x:c>
    </x:row>
    <x:row r="3" ht="49" customHeight="1">
      <x:c r="A3" s="4" t="str">
        <x:v>AND-SPORT</x:v>
      </x:c>
      <x:c r="B3" s="4" t="str">
        <x:v>Andalucía sports facility census</x:v>
      </x:c>
      <x:c r="C3" s="4" t="str">
        <x:v>Regional: Andalucía</x:v>
      </x:c>
      <x:c r="D3" s="4" t="str">
        <x:v>regional</x:v>
      </x:c>
      <x:c r="E3" s="4" t="str">
        <x:v>Public facilities</x:v>
      </x:c>
      <x:c r="F3" s="4" t="str">
        <x:v>CSV</x:v>
      </x:c>
      <x:c r="G3" s="4" t="str">
        <x:v>historical_or_stale</x:v>
      </x:c>
      <x:c r="H3" s="4" t="str">
        <x:v>CC BY 4.0</x:v>
      </x:c>
      <x:c r="I3" s="4" t="str">
        <x:v>explicit</x:v>
      </x:c>
      <x:c r="J3" s="4" t="str">
        <x:v>Catalog metadata last modified 2021-07-01; treat freshness as unconfirmed.</x:v>
      </x:c>
      <x:c r="K3" s="4" t="str">
        <x:v>Facility type, ownership and sports spaces. Regional coverage is not a guarantee of a populated row for every city.</x:v>
      </x:c>
      <x:c r="L3" s="4" t="str">
        <x:v>https://www.juntadeandalucia.es/datosabiertos/portal/dataset/censo-de-instalaciones-deportivas</x:v>
      </x:c>
    </x:row>
    <x:row r="4" ht="42" customHeight="1">
      <x:c r="A4" s="14" t="str">
        <x:v>VAL-SCHOOLS</x:v>
      </x:c>
      <x:c r="B4" s="14" t="str">
        <x:v>Comunitat Valenciana educational centres</x:v>
      </x:c>
      <x:c r="C4" s="14" t="str">
        <x:v>Regional: Comunitat Valenciana</x:v>
      </x:c>
      <x:c r="D4" s="14" t="str">
        <x:v>regional</x:v>
      </x:c>
      <x:c r="E4" s="14" t="str">
        <x:v>Education</x:v>
      </x:c>
      <x:c r="F4" s="14" t="str">
        <x:v>CSV</x:v>
      </x:c>
      <x:c r="G4" s="14" t="str">
        <x:v>start_here</x:v>
      </x:c>
      <x:c r="H4" s="14" t="str">
        <x:v>Creative Commons Attribution; version not confirmed</x:v>
      </x:c>
      <x:c r="I4" s="14" t="str">
        <x:v>explicit_version_unspecified</x:v>
      </x:c>
      <x:c r="J4" s="14" t="str">
        <x:v>Publisher states weekly updates.</x:v>
      </x:c>
      <x:c r="K4" s="14" t="str">
        <x:v>School code, type, postal code, locality, province, latitude and longitude.</x:v>
      </x:c>
      <x:c r="L4" s="14" t="str">
        <x:v>https://dadesobertes.gva.es/es/dataset/edu-centros</x:v>
      </x:c>
    </x:row>
    <x:row r="5" ht="88" customHeight="1">
      <x:c r="A5" s="4" t="str">
        <x:v>CAT-BUDGET</x:v>
      </x:c>
      <x:c r="B5" s="4" t="str">
        <x:v>Catalan local government budgets: economic and programme classifications</x:v>
      </x:c>
      <x:c r="C5" s="4" t="str">
        <x:v>Regional: Catalunya</x:v>
      </x:c>
      <x:c r="D5" s="4" t="str">
        <x:v>regional</x:v>
      </x:c>
      <x:c r="E5" s="4" t="str">
        <x:v>Public finance</x:v>
      </x:c>
      <x:c r="F5" s="4" t="str">
        <x:v>JSON | CSV</x:v>
      </x:c>
      <x:c r="G5" s="4" t="str">
        <x:v>start_here</x:v>
      </x:c>
      <x:c r="H5" s="4" t="str">
        <x:v>CC0</x:v>
      </x:c>
      <x:c r="I5" s="4" t="str">
        <x:v>explicit</x:v>
      </x:c>
      <x:c r="J5" s="4" t="str">
        <x:v>Annual. Catalog metadata updated 2026-10-05; first published 2023-12-19. Read any_exercici for actual observation years.</x:v>
      </x:c>
      <x:c r="K5" s="4" t="str">
        <x:v>Documented Sant Cugat filter: filters={"CODI_ENS":"820550006"}. Use API field metadata to confirm exact key casing. Values include revenue/expense, account classification and amount. Paginate datastore_search.</x:v>
      </x:c>
      <x:c r="L5" s="4" t="str">
        <x:v>https://seu-e.cat/ca/web/santcugatdelvalles/dades-obertes/-/dadesobertes/dataset/48265d99-f8b8-4a63-9704-c30423fa5c6e</x:v>
      </x:c>
    </x:row>
    <x:row r="6" ht="75" customHeight="1">
      <x:c r="A6" s="14" t="str">
        <x:v>EUS-SPORT</x:v>
      </x:c>
      <x:c r="B6" s="14" t="str">
        <x:v>Euskadi sports facility census</x:v>
      </x:c>
      <x:c r="C6" s="14" t="str">
        <x:v>Regional: Euskadi</x:v>
      </x:c>
      <x:c r="D6" s="14" t="str">
        <x:v>regional</x:v>
      </x:c>
      <x:c r="E6" s="14" t="str">
        <x:v>Public facilities</x:v>
      </x:c>
      <x:c r="F6" s="14" t="str">
        <x:v>XLSX | JSON | GeoJSON</x:v>
      </x:c>
      <x:c r="G6" s="14" t="str">
        <x:v>access_review</x:v>
      </x:c>
      <x:c r="H6" s="14" t="str">
        <x:v>Publisher reuse terms; review linked legal notice</x:v>
      </x:c>
      <x:c r="I6" s="14" t="str">
        <x:v>custom_terms</x:v>
      </x:c>
      <x:c r="J6" s="14" t="str">
        <x:v>Monthly; catalog coverage end 2026-09-30.</x:v>
      </x:c>
      <x:c r="K6" s="14" t="str">
        <x:v>The advertised GeoJSON link returned 404 during checking. XLSX and JSON alternatives are listed, but were not parsed or validated. Do not treat this as a confirmed working GeoJSON feed.</x:v>
      </x:c>
      <x:c r="L6" s="14" t="str">
        <x:v>https://opendata.euskadi.eus/catalogo/-/censo-de-instalaciones-deportivas-de-euskadi/</x:v>
      </x:c>
    </x:row>
    <x:row r="7" ht="75" customHeight="1">
      <x:c r="A7" s="4" t="str">
        <x:v>CYL-MONUMENTS</x:v>
      </x:c>
      <x:c r="B7" s="4" t="str">
        <x:v>Castilla y León tourism monument inventory</x:v>
      </x:c>
      <x:c r="C7" s="4" t="str">
        <x:v>Regional: Castilla y León</x:v>
      </x:c>
      <x:c r="D7" s="4" t="str">
        <x:v>regional</x:v>
      </x:c>
      <x:c r="E7" s="4" t="str">
        <x:v>Culture and tourism</x:v>
      </x:c>
      <x:c r="F7" s="4" t="str">
        <x:v>JSON</x:v>
      </x:c>
      <x:c r="G7" s="4" t="str">
        <x:v>review</x:v>
      </x:c>
      <x:c r="H7" s="4" t="str">
        <x:v>Not confirmed; review publisher terms</x:v>
      </x:c>
      <x:c r="I7" s="4" t="str">
        <x:v>not_confirmed</x:v>
      </x:c>
      <x:c r="J7" s="4" t="str">
        <x:v>Publisher states daily updates Monday to Friday.</x:v>
      </x:c>
      <x:c r="K7" s="4" t="str">
        <x:v>Dataset ID relacion-monumentos. API and export interfaces exist, but JavaScript prevented verification of an exact downloadable CSV endpoint. Use the API tab; a CSV URL is deliberately not guessed.</x:v>
      </x:c>
      <x:c r="L7" s="4" t="str">
        <x:v>https://analisis.datosabiertos.jcyl.es/explore/dataset/relacion-monumentos/information/ | https://analisis.datosabiertos.jcyl.es/explore/dataset/relacion-monumentos/export/</x:v>
      </x:c>
    </x:row>
    <x:row r="8" ht="62" customHeight="1">
      <x:c r="A8" s="14" t="str">
        <x:v>BAL-GTFS</x:v>
      </x:c>
      <x:c r="B8" s="14" t="str">
        <x:v>Mallorca interurban public transport timetable (TIB / CTM)</x:v>
      </x:c>
      <x:c r="C8" s="14" t="str">
        <x:v>Regional: Illes Balears</x:v>
      </x:c>
      <x:c r="D8" s="14" t="str">
        <x:v>regional</x:v>
      </x:c>
      <x:c r="E8" s="14" t="str">
        <x:v>Public transport</x:v>
      </x:c>
      <x:c r="F8" s="14" t="str">
        <x:v>GTFS ZIP</x:v>
      </x:c>
      <x:c r="G8" s="14" t="str">
        <x:v>start_here</x:v>
      </x:c>
      <x:c r="H8" s="14" t="str">
        <x:v>CC BY 4.0</x:v>
      </x:c>
      <x:c r="I8" s="14" t="str">
        <x:v>explicit</x:v>
      </x:c>
      <x:c r="J8" s="14" t="str">
        <x:v>Current feed linked by publisher; verify feed_info and calendar validity after extraction.</x:v>
      </x:c>
      <x:c r="K8" s="14" t="str">
        <x:v>GTFS contains structured text tables for stops, routes, trips and scheduled times. Static schedules, not real-time vehicle positions.</x:v>
      </x:c>
      <x:c r="L8" s="14" t="str">
        <x:v>https://www.tib.org/es/sobre-ctm/portal-de-transparencia/datos-abiertos</x:v>
      </x:c>
    </x:row>
    <x:row r="9" ht="62" customHeight="1">
      <x:c r="A9" s="4" t="str">
        <x:v>MAD-AIR</x:v>
      </x:c>
      <x:c r="B9" s="4" t="str">
        <x:v>Madrid hourly air quality, historical archive since 2001</x:v>
      </x:c>
      <x:c r="C9" s="4" t="str">
        <x:v>Madrid</x:v>
      </x:c>
      <x:c r="D9" s="4" t="str">
        <x:v>municipal</x:v>
      </x:c>
      <x:c r="E9" s="4" t="str">
        <x:v>Air quality</x:v>
      </x:c>
      <x:c r="F9" s="4" t="str">
        <x:v>CSV | JSON | XML | ZIP</x:v>
      </x:c>
      <x:c r="G9" s="4" t="str">
        <x:v>start_here</x:v>
      </x:c>
      <x:c r="H9" s="4" t="str">
        <x:v>CC BY 4.0</x:v>
      </x:c>
      <x:c r="I9" s="4" t="str">
        <x:v>explicit</x:v>
      </x:c>
      <x:c r="J9" s="4" t="str">
        <x:v>Monthly. Updated 2026-09-28; coverage through 2026-08-31. The linked CSV covers 2025 onward; older years have separate archives.</x:v>
      </x:c>
      <x:c r="K9" s="4" t="str">
        <x:v>The timestamped file URL can change after refresh; retain the landing page for resource discovery. Check station and pollutant codes, units and validity flags.</x:v>
      </x:c>
      <x:c r="L9" s="4" t="str">
        <x:v>https://datos.madrid.es/dataset/201200-0-calidad-aire-horario | https://datos.gob.es/es/catalogo/l01280796-calidad-del-aire-datos-horarios-desde-2001</x:v>
      </x:c>
    </x:row>
    <x:row r="10" ht="75" customHeight="1">
      <x:c r="A10" s="14" t="str">
        <x:v>BCN-TRANSPORT</x:v>
      </x:c>
      <x:c r="B10" s="14" t="str">
        <x:v>Barcelona transport facilities inventory</x:v>
      </x:c>
      <x:c r="C10" s="14" t="str">
        <x:v>Barcelona</x:v>
      </x:c>
      <x:c r="D10" s="14" t="str">
        <x:v>municipal</x:v>
      </x:c>
      <x:c r="E10" s="14" t="str">
        <x:v>Public transport</x:v>
      </x:c>
      <x:c r="F10" s="14" t="str">
        <x:v>CSV | JSON</x:v>
      </x:c>
      <x:c r="G10" s="14" t="str">
        <x:v>historical_or_stale</x:v>
      </x:c>
      <x:c r="H10" s="14" t="str">
        <x:v>CC BY 4.0</x:v>
      </x:c>
      <x:c r="I10" s="14" t="str">
        <x:v>explicit</x:v>
      </x:c>
      <x:c r="J10" s="14" t="str">
        <x:v>Published 2026-07-16, but the observed dataset refers to 2021. Do not equate publication date with data freshness.</x:v>
      </x:c>
      <x:c r="K10" s="14" t="str">
        <x:v>Look for opendatabcn_varis-transports-csv.csv or opendatabcn_varis-transports.json. The portal requires JavaScript for the export controls.</x:v>
      </x:c>
      <x:c r="L10" s="14" t="str">
        <x:v>https://portaldades.ajuntament.barcelona.cat/microdades/8b5b8edb-28fd-4eb2-a936-94a116a1b5ad</x:v>
      </x:c>
    </x:row>
    <x:row r="11" ht="49" customHeight="1">
      <x:c r="A11" s="4" t="str">
        <x:v>BCN-PORT</x:v>
      </x:c>
      <x:c r="B11" s="4" t="str">
        <x:v>Port of Barcelona ship departures, 2026</x:v>
      </x:c>
      <x:c r="C11" s="4" t="str">
        <x:v>Barcelona</x:v>
      </x:c>
      <x:c r="D11" s="4" t="str">
        <x:v>port_authority</x:v>
      </x:c>
      <x:c r="E11" s="4" t="str">
        <x:v>Maritime transport</x:v>
      </x:c>
      <x:c r="F11" s="4" t="str">
        <x:v>CSV</x:v>
      </x:c>
      <x:c r="G11" s="4" t="str">
        <x:v>review</x:v>
      </x:c>
      <x:c r="H11" s="4" t="str">
        <x:v>Not confirmed; review publisher terms</x:v>
      </x:c>
      <x:c r="I11" s="4" t="str">
        <x:v>not_confirmed</x:v>
      </x:c>
      <x:c r="J11" s="4" t="str">
        <x:v>Annual 2026 resource listed; update cadence and completeness not independently confirmed.</x:v>
      </x:c>
      <x:c r="K11" s="4" t="str">
        <x:v>Port authority data, not municipal transport data. Separate resources exist for other years.</x:v>
      </x:c>
      <x:c r="L11" s="4" t="str">
        <x:v>https://datos.gob.es/es/catalogo/ea0001302-escalas-salidas1</x:v>
      </x:c>
    </x:row>
    <x:row r="12" ht="88" customHeight="1">
      <x:c r="A12" s="14" t="str">
        <x:v>VLC-GREEN</x:v>
      </x:c>
      <x:c r="B12" s="14" t="str">
        <x:v>Valencia gardens and green spaces</x:v>
      </x:c>
      <x:c r="C12" s="14" t="str">
        <x:v>Valencia</x:v>
      </x:c>
      <x:c r="D12" s="14" t="str">
        <x:v>municipal</x:v>
      </x:c>
      <x:c r="E12" s="14" t="str">
        <x:v>Parks and environment</x:v>
      </x:c>
      <x:c r="F12" s="14" t="str">
        <x:v>CSV | JSON | SHP | KML | GML</x:v>
      </x:c>
      <x:c r="G12" s="14" t="str">
        <x:v>access_review</x:v>
      </x:c>
      <x:c r="H12" s="14" t="str">
        <x:v>CC BY 4.0</x:v>
      </x:c>
      <x:c r="I12" s="14" t="str">
        <x:v>explicit</x:v>
      </x:c>
      <x:c r="J12" s="14" t="str">
        <x:v>No reliable last-observation date seen.</x:v>
      </x:c>
      <x:c r="K12" s="14" t="str">
        <x:v>Location, neighbourhood and garden type. The advertised CSV returned 404 on checking; JSON and GIS alternatives are listed but not confirmed working. Use VAL-SCHOOLS as a different-topic fallback, not as a replacement for garden data.</x:v>
      </x:c>
      <x:c r="L12" s="14" t="str">
        <x:v>https://opendata.vlci.valencia.es/dataset/gardens-and-green-spaces</x:v>
      </x:c>
    </x:row>
    <x:row r="13" ht="75" customHeight="1">
      <x:c r="A13" s="4" t="str">
        <x:v>ZGZ-MONUMENTS</x:v>
      </x:c>
      <x:c r="B13" s="4" t="str">
        <x:v>Zaragoza monuments with opening information and coordinates</x:v>
      </x:c>
      <x:c r="C13" s="4" t="str">
        <x:v>Zaragoza</x:v>
      </x:c>
      <x:c r="D13" s="4" t="str">
        <x:v>municipal</x:v>
      </x:c>
      <x:c r="E13" s="4" t="str">
        <x:v>Culture and tourism</x:v>
      </x:c>
      <x:c r="F13" s="4" t="str">
        <x:v>JSON | CSV | GeoJSON | XML</x:v>
      </x:c>
      <x:c r="G13" s="4" t="str">
        <x:v>start_here</x:v>
      </x:c>
      <x:c r="H13" s="4" t="str">
        <x:v>Not confirmed; review publisher terms</x:v>
      </x:c>
      <x:c r="I13" s="4" t="str">
        <x:v>not_confirmed</x:v>
      </x:c>
      <x:c r="J13" s="4" t="str">
        <x:v>API documentation verified; individual record freshness not confirmed.</x:v>
      </x:c>
      <x:c r="K13" s="4" t="str">
        <x:v>Example returns only up to 100 rows. Paginate using start/rows and totalCount. Coordinates default to UTM30; documentation shows srsname=wgs84 for longitude/latitude. Registration is described as optional.</x:v>
      </x:c>
      <x:c r="L13" s="4" t="str">
        <x:v>https://zaragoza.es/sede/portal/espacio-de-datos/herramientas/api-rest</x:v>
      </x:c>
    </x:row>
    <x:row r="14" ht="75" customHeight="1">
      <x:c r="A14" s="14" t="str">
        <x:v>ZGZ-EMISSIONS</x:v>
      </x:c>
      <x:c r="B14" s="14" t="str">
        <x:v>Zaragoza greenhouse gas inventory by year, district and sector</x:v>
      </x:c>
      <x:c r="C14" s="14" t="str">
        <x:v>Zaragoza</x:v>
      </x:c>
      <x:c r="D14" s="14" t="str">
        <x:v>municipal</x:v>
      </x:c>
      <x:c r="E14" s="14" t="str">
        <x:v>Emissions</x:v>
      </x:c>
      <x:c r="F14" s="14" t="str">
        <x:v>JSON</x:v>
      </x:c>
      <x:c r="G14" s="14" t="str">
        <x:v>review</x:v>
      </x:c>
      <x:c r="H14" s="14" t="str">
        <x:v>Not confirmed; review publisher terms</x:v>
      </x:c>
      <x:c r="I14" s="14" t="str">
        <x:v>not_confirmed</x:v>
      </x:c>
      <x:c r="J14" s="14" t="str">
        <x:v>Documentation examples include 2019, 2021 and 2023; query the years endpoint to discover available inventory years.</x:v>
      </x:c>
      <x:c r="K14" s="14" t="str">
        <x:v>The linked query is a residential-buildings example, not the full inventory. Use documented district and sector endpoints to enumerate dimensions; keep pollutant units and inventory scopes separate.</x:v>
      </x:c>
      <x:c r="L14" s="14" t="str">
        <x:v>https://zaragoza.es/sede/portal/espacio-de-datos/herramientas/api-rest</x:v>
      </x:c>
    </x:row>
    <x:row r="15" ht="49" customHeight="1">
      <x:c r="A15" s="4" t="str">
        <x:v>MAL-BINS</x:v>
      </x:c>
      <x:c r="B15" s="4" t="str">
        <x:v>Málaga municipal solid waste container locations</x:v>
      </x:c>
      <x:c r="C15" s="4" t="str">
        <x:v>Málaga</x:v>
      </x:c>
      <x:c r="D15" s="4" t="str">
        <x:v>municipal</x:v>
      </x:c>
      <x:c r="E15" s="4" t="str">
        <x:v>Waste and municipal assets</x:v>
      </x:c>
      <x:c r="F15" s="4" t="str">
        <x:v>CSV</x:v>
      </x:c>
      <x:c r="G15" s="4" t="str">
        <x:v>start_here</x:v>
      </x:c>
      <x:c r="H15" s="4" t="str">
        <x:v>CC BY 4.0</x:v>
      </x:c>
      <x:c r="I15" s="4" t="str">
        <x:v>explicit</x:v>
      </x:c>
      <x:c r="J15" s="4" t="str">
        <x:v>Resource date observed 2025-09-17; some catalog metadata dates back to 2017.</x:v>
      </x:c>
      <x:c r="K15" s="4" t="str">
        <x:v>WGS84 / EPSG:4326 export. Confirm coordinate column names and axis order before ingestion.</x:v>
      </x:c>
      <x:c r="L15" s="4" t="str">
        <x:v>https://datosabiertos.malaga.eu/dataset/contenedores-para-residuos-solidos-urbanos/resource/8a7f9d80-c7d0-45de-8583-f3fb91eb1928</x:v>
      </x:c>
    </x:row>
    <x:row r="16" ht="62" customHeight="1">
      <x:c r="A16" s="14" t="str">
        <x:v>MUR-VISITORS</x:v>
      </x:c>
      <x:c r="B16" s="14" t="str">
        <x:v>Murcia overnight visitor statistics</x:v>
      </x:c>
      <x:c r="C16" s="14" t="str">
        <x:v>Murcia</x:v>
      </x:c>
      <x:c r="D16" s="14" t="str">
        <x:v>municipal</x:v>
      </x:c>
      <x:c r="E16" s="14" t="str">
        <x:v>Tourism</x:v>
      </x:c>
      <x:c r="F16" s="14" t="str">
        <x:v>JSON</x:v>
      </x:c>
      <x:c r="G16" s="14" t="str">
        <x:v>historical_or_stale</x:v>
      </x:c>
      <x:c r="H16" s="14" t="str">
        <x:v>Not confirmed; review publisher terms</x:v>
      </x:c>
      <x:c r="I16" s="14" t="str">
        <x:v>not_confirmed</x:v>
      </x:c>
      <x:c r="J16" s="14" t="str">
        <x:v>Annual; catalog date observed 2023-09-21. Current observation period not confirmed.</x:v>
      </x:c>
      <x:c r="K16" s="14" t="str">
        <x:v>JSON distribution listed; follow its resource link from the CKAN-backed municipal transparency portal. Reuse license was not clearly specified.</x:v>
      </x:c>
      <x:c r="L16" s="14" t="str">
        <x:v>https://transparencia.mimurcia.murcia.es/ckan-dataset/ee7b3bed-2adf-4fab-932c-ef132fbc6b06</x:v>
      </x:c>
    </x:row>
    <x:row r="17" ht="75" customHeight="1">
      <x:c r="A17" s="4" t="str">
        <x:v>LPA-STOPS</x:v>
      </x:c>
      <x:c r="B17" s="4" t="str">
        <x:v>Guaguas Municipales bus stops</x:v>
      </x:c>
      <x:c r="C17" s="4" t="str">
        <x:v>Las Palmas de Gran Canaria</x:v>
      </x:c>
      <x:c r="D17" s="4" t="str">
        <x:v>municipal_operator</x:v>
      </x:c>
      <x:c r="E17" s="4" t="str">
        <x:v>Public transport</x:v>
      </x:c>
      <x:c r="F17" s="4" t="str">
        <x:v>CSV</x:v>
      </x:c>
      <x:c r="G17" s="4" t="str">
        <x:v>access_review</x:v>
      </x:c>
      <x:c r="H17" s="4" t="str">
        <x:v>Not confirmed; review publisher terms</x:v>
      </x:c>
      <x:c r="I17" s="4" t="str">
        <x:v>not_confirmed</x:v>
      </x:c>
      <x:c r="J17" s="4" t="str">
        <x:v>Not confirmed.</x:v>
      </x:c>
      <x:c r="K17" s="4" t="str">
        <x:v>Catalog title: Guaguas Municipales Paradas. A dataset-specific resource URL was not recovered; portal returned a gateway error during direct access. Do not treat the catalog homepage as a CSV URL.</x:v>
      </x:c>
      <x:c r="L17" s="4" t="str">
        <x:v>https://datosabiertos.laspalmasgc.es/data/</x:v>
      </x:c>
    </x:row>
    <x:row r="18" ht="75" customHeight="1">
      <x:c r="A18" s="14" t="str">
        <x:v>BIO-PARCELS</x:v>
      </x:c>
      <x:c r="B18" s="14" t="str">
        <x:v>Bilbao cadastral parcels</x:v>
      </x:c>
      <x:c r="C18" s="14" t="str">
        <x:v>Bilbao</x:v>
      </x:c>
      <x:c r="D18" s="14" t="str">
        <x:v>provincial</x:v>
      </x:c>
      <x:c r="E18" s="14" t="str">
        <x:v>Land and property</x:v>
      </x:c>
      <x:c r="F18" s="14" t="str">
        <x:v>CSV | JSON</x:v>
      </x:c>
      <x:c r="G18" s="14" t="str">
        <x:v>review</x:v>
      </x:c>
      <x:c r="H18" s="14" t="str">
        <x:v>Not confirmed; review publisher terms</x:v>
      </x:c>
      <x:c r="I18" s="14" t="str">
        <x:v>not_confirmed</x:v>
      </x:c>
      <x:c r="J18" s="14" t="str">
        <x:v>Monthly; national catalog metadata dated 2026-06-11.</x:v>
      </x:c>
      <x:c r="K18" s="14" t="str">
        <x:v>Provincial publisher; dataset is specifically scoped to Bilbao. JSON variant is advertised using format=json. Confirm geometry encoding and coordinate system from the schema.</x:v>
      </x:c>
      <x:c r="L18" s="14" t="str">
        <x:v>https://datos.gob.es/ca/catalogo/l02000048-parcelario-catastral-bilbao</x:v>
      </x:c>
    </x:row>
    <x:row r="19" ht="62" customHeight="1">
      <x:c r="A19" s="4" t="str">
        <x:v>COR-CRASHES</x:v>
      </x:c>
      <x:c r="B19" s="4" t="str">
        <x:v>Córdoba road traffic crashes</x:v>
      </x:c>
      <x:c r="C19" s="4" t="str">
        <x:v>Córdoba</x:v>
      </x:c>
      <x:c r="D19" s="4" t="str">
        <x:v>municipal</x:v>
      </x:c>
      <x:c r="E19" s="4" t="str">
        <x:v>Road safety</x:v>
      </x:c>
      <x:c r="F19" s="4" t="str">
        <x:v>CSV</x:v>
      </x:c>
      <x:c r="G19" s="4" t="str">
        <x:v>license_review</x:v>
      </x:c>
      <x:c r="H19" s="4" t="str">
        <x:v>No license specified in the observed dataset metadata</x:v>
      </x:c>
      <x:c r="I19" s="4" t="str">
        <x:v>not_confirmed</x:v>
      </x:c>
      <x:c r="J19" s="4" t="str">
        <x:v>Complete annual resources listed for 2019–2023; the 2024 resource covers only through June. Metadata updated 2024-09-23.</x:v>
      </x:c>
      <x:c r="K19" s="4" t="str">
        <x:v>Direct URL selects 2023. Machine readable does not itself establish permission for unrestricted reuse; clarify licensing before redistribution.</x:v>
      </x:c>
      <x:c r="L19" s="4" t="str">
        <x:v>https://datosabiertos.cordoba.es/ckan/dataset/accidentes-de-trafico</x:v>
      </x:c>
    </x:row>
    <x:row r="20" ht="62" customHeight="1">
      <x:c r="A20" s="14" t="str">
        <x:v>HOS-BICIBOX</x:v>
      </x:c>
      <x:c r="B20" s="14" t="str">
        <x:v>L’Hospitalet BiciBox bicycle parking locations and occupancy</x:v>
      </x:c>
      <x:c r="C20" s="14" t="str">
        <x:v>L’Hospitalet de Llobregat</x:v>
      </x:c>
      <x:c r="D20" s="14" t="str">
        <x:v>municipal</x:v>
      </x:c>
      <x:c r="E20" s="14" t="str">
        <x:v>Cycling and parking</x:v>
      </x:c>
      <x:c r="F20" s="14" t="str">
        <x:v>JSON | CSV</x:v>
      </x:c>
      <x:c r="G20" s="14" t="str">
        <x:v>start_here</x:v>
      </x:c>
      <x:c r="H20" s="14" t="str">
        <x:v>Not confirmed; review publisher terms</x:v>
      </x:c>
      <x:c r="I20" s="14" t="str">
        <x:v>not_confirmed</x:v>
      </x:c>
      <x:c r="J20" s="14" t="str">
        <x:v>Catalog date observed 2026-10-07; actual occupancy timestamp and refresh interval must be checked.</x:v>
      </x:c>
      <x:c r="K20" s="14" t="str">
        <x:v>Use the CSV/JSON data resource, not the separate PDF resource or package_show metadata. Paginate with limit and offset; inspect result.fields.</x:v>
      </x:c>
      <x:c r="L20" s="14" t="str">
        <x:v>https://seu-e.cat/ca/web/hospitaletdellobregat/dades-obertes/-/dadesobertes/dataset/e1bcf33c-3228-4b65-af1b-f0a0d017ef84</x:v>
      </x:c>
    </x:row>
    <x:row r="21" ht="62" customHeight="1">
      <x:c r="A21" s="4" t="str">
        <x:v>GIJ-AIR</x:v>
      </x:c>
      <x:c r="B21" s="4" t="str">
        <x:v>Gijón air quality measurements from the last week</x:v>
      </x:c>
      <x:c r="C21" s="4" t="str">
        <x:v>Gijón</x:v>
      </x:c>
      <x:c r="D21" s="4" t="str">
        <x:v>municipal</x:v>
      </x:c>
      <x:c r="E21" s="4" t="str">
        <x:v>Air quality</x:v>
      </x:c>
      <x:c r="F21" s="4" t="str">
        <x:v>CSV | JSON</x:v>
      </x:c>
      <x:c r="G21" s="4" t="str">
        <x:v>review</x:v>
      </x:c>
      <x:c r="H21" s="4" t="str">
        <x:v>Not confirmed; review publisher terms</x:v>
      </x:c>
      <x:c r="I21" s="4" t="str">
        <x:v>not_confirmed</x:v>
      </x:c>
      <x:c r="J21" s="4" t="str">
        <x:v>Catalog describes a rolling last-week dataset; exact refresh interval not confirmed.</x:v>
      </x:c>
      <x:c r="K21" s="4" t="str">
        <x:v>Select the air-quality last-week dataset from the catalog. Exact dataset/download URL not recovered. Station information is also separately listed.</x:v>
      </x:c>
      <x:c r="L21" s="4" t="str">
        <x:v>https://datos.gijon.es/</x:v>
      </x:c>
    </x:row>
    <x:row r="22" ht="42" customHeight="1">
      <x:c r="A22" s="14" t="str">
        <x:v>VIT-CONTRACTS</x:v>
      </x:c>
      <x:c r="B22" s="14" t="str">
        <x:v>Vitoria-Gasteiz minor public contracts</x:v>
      </x:c>
      <x:c r="C22" s="14" t="str">
        <x:v>Vitoria-Gasteiz</x:v>
      </x:c>
      <x:c r="D22" s="14" t="str">
        <x:v>municipal</x:v>
      </x:c>
      <x:c r="E22" s="14" t="str">
        <x:v>Procurement</x:v>
      </x:c>
      <x:c r="F22" s="14" t="str">
        <x:v>CSV | ODS</x:v>
      </x:c>
      <x:c r="G22" s="14" t="str">
        <x:v>review</x:v>
      </x:c>
      <x:c r="H22" s="14" t="str">
        <x:v>Municipal reuse terms; check linked conditions</x:v>
      </x:c>
      <x:c r="I22" s="14" t="str">
        <x:v>custom_terms</x:v>
      </x:c>
      <x:c r="J22" s="14" t="str">
        <x:v>Catalog describes quarterly updates with cumulative annual resources.</x:v>
      </x:c>
      <x:c r="K22" s="14" t="str">
        <x:v>Choose the required year and its CSV export; dataset landing is HTML, not a file.</x:v>
      </x:c>
      <x:c r="L22" s="14" t="str">
        <x:v>https://www.vitoria-gasteiz.org/j34-01w/catalogo/portada?idioma=es&amp;lang=es&amp;locale=es</x:v>
      </x:c>
    </x:row>
    <x:row r="23" ht="42" customHeight="1">
      <x:c r="A23" s="4" t="str">
        <x:v>TER-RESTAURANTS</x:v>
      </x:c>
      <x:c r="B23" s="4" t="str">
        <x:v>Terrassa restaurant directory</x:v>
      </x:c>
      <x:c r="C23" s="4" t="str">
        <x:v>Terrassa</x:v>
      </x:c>
      <x:c r="D23" s="4" t="str">
        <x:v>municipal</x:v>
      </x:c>
      <x:c r="E23" s="4" t="str">
        <x:v>Business and tourism</x:v>
      </x:c>
      <x:c r="F23" s="4" t="str">
        <x:v>CSV</x:v>
      </x:c>
      <x:c r="G23" s="4" t="str">
        <x:v>start_here</x:v>
      </x:c>
      <x:c r="H23" s="4" t="str">
        <x:v>Creative Commons Attribution; version not confirmed</x:v>
      </x:c>
      <x:c r="I23" s="4" t="str">
        <x:v>explicit_version_unspecified</x:v>
      </x:c>
      <x:c r="J23" s="4" t="str">
        <x:v>Monthly according to the national catalog.</x:v>
      </x:c>
      <x:c r="K23" s="4" t="str"/>
      <x:c r="L23" s="4" t="str">
        <x:v>https://datos.gob.es/es/catalogo/l01082798-restaurantes1</x:v>
      </x:c>
    </x:row>
    <x:row r="24" ht="49" customHeight="1">
      <x:c r="A24" s="14" t="str">
        <x:v>TER-BUDGET</x:v>
      </x:c>
      <x:c r="B24" s="14" t="str">
        <x:v>Terrassa municipal budgets</x:v>
      </x:c>
      <x:c r="C24" s="14" t="str">
        <x:v>Terrassa</x:v>
      </x:c>
      <x:c r="D24" s="14" t="str">
        <x:v>municipal</x:v>
      </x:c>
      <x:c r="E24" s="14" t="str">
        <x:v>Public finance</x:v>
      </x:c>
      <x:c r="F24" s="14" t="str">
        <x:v>CSV | JSON</x:v>
      </x:c>
      <x:c r="G24" s="14" t="str">
        <x:v>review</x:v>
      </x:c>
      <x:c r="H24" s="14" t="str">
        <x:v>Not confirmed; review publisher terms</x:v>
      </x:c>
      <x:c r="I24" s="14" t="str">
        <x:v>not_confirmed</x:v>
      </x:c>
      <x:c r="J24" s="14" t="str">
        <x:v>Download page lists years 2010–2026.</x:v>
      </x:c>
      <x:c r="K24" s="14" t="str">
        <x:v>Choose a year and revenue/expenditure export; retain classification codes as strings.</x:v>
      </x:c>
      <x:c r="L24" s="14" t="str">
        <x:v>https://pressupostos.terrassa.cat/descarga-datos</x:v>
      </x:c>
    </x:row>
    <x:row r="25" ht="75" customHeight="1">
      <x:c r="A25" s="4" t="str">
        <x:v>TER-BOUNDARIES</x:v>
      </x:c>
      <x:c r="B25" s="4" t="str">
        <x:v>Terrassa neighbourhood and administrative boundary layers</x:v>
      </x:c>
      <x:c r="C25" s="4" t="str">
        <x:v>Terrassa</x:v>
      </x:c>
      <x:c r="D25" s="4" t="str">
        <x:v>municipal</x:v>
      </x:c>
      <x:c r="E25" s="4" t="str">
        <x:v>Boundaries and geography</x:v>
      </x:c>
      <x:c r="F25" s="4" t="str">
        <x:v>GeoJSON | KML | CSV</x:v>
      </x:c>
      <x:c r="G25" s="4" t="str">
        <x:v>review</x:v>
      </x:c>
      <x:c r="H25" s="4" t="str">
        <x:v>Not confirmed; review publisher terms</x:v>
      </x:c>
      <x:c r="I25" s="4" t="str">
        <x:v>not_confirmed</x:v>
      </x:c>
      <x:c r="J25" s="4" t="str">
        <x:v>Not confirmed.</x:v>
      </x:c>
      <x:c r="K25" s="4" t="str">
        <x:v>GeoJSON/KML for neighbourhoods, districts, postal-code and census layers; CSV applies to selected street/district tables, not necessarily each boundary layer. Check the CRS: portal notes ETRS89, with KML in WGS84.</x:v>
      </x:c>
      <x:c r="L25" s="4" t="str">
        <x:v>https://emap.terrassa.cat/geoPortal/?tab=descarregues</x:v>
      </x:c>
    </x:row>
    <x:row r="26" ht="62" customHeight="1">
      <x:c r="A26" s="14" t="str">
        <x:v>SAB-POP</x:v>
      </x:c>
      <x:c r="B26" s="14" t="str">
        <x:v>Sabadell population by district, sex and nationality</x:v>
      </x:c>
      <x:c r="C26" s="14" t="str">
        <x:v>Sabadell</x:v>
      </x:c>
      <x:c r="D26" s="14" t="str">
        <x:v>municipal</x:v>
      </x:c>
      <x:c r="E26" s="14" t="str">
        <x:v>Demographics</x:v>
      </x:c>
      <x:c r="F26" s="14" t="str">
        <x:v>CSV</x:v>
      </x:c>
      <x:c r="G26" s="14" t="str">
        <x:v>review</x:v>
      </x:c>
      <x:c r="H26" s="14" t="str">
        <x:v>Not confirmed; review publisher terms</x:v>
      </x:c>
      <x:c r="I26" s="14" t="str">
        <x:v>not_confirmed</x:v>
      </x:c>
      <x:c r="J26" s="14" t="str">
        <x:v>Select the year explicitly; freshness not confirmed.</x:v>
      </x:c>
      <x:c r="K26" s="14" t="str">
        <x:v>Dataset is listed among CSV population tables. Download requires selecting the relevant dataset/year. Shared CAT-BUDGET is a separately documented API option.</x:v>
      </x:c>
      <x:c r="L26" s="14" t="str">
        <x:v>https://opendata.sabadell.cat/inici/fitxes-cataleg?cod=OD-%2CCSV&amp;title=Dades+en+format+CSV</x:v>
      </x:c>
    </x:row>
    <x:row r="27" ht="49" customHeight="1">
      <x:c r="A27" s="4" t="str">
        <x:v>CAR-SPORT</x:v>
      </x:c>
      <x:c r="B27" s="4" t="str">
        <x:v>Cartagena municipal sports facilities</x:v>
      </x:c>
      <x:c r="C27" s="4" t="str">
        <x:v>Cartagena</x:v>
      </x:c>
      <x:c r="D27" s="4" t="str">
        <x:v>municipal</x:v>
      </x:c>
      <x:c r="E27" s="4" t="str">
        <x:v>Public facilities</x:v>
      </x:c>
      <x:c r="F27" s="4" t="str">
        <x:v>CSV</x:v>
      </x:c>
      <x:c r="G27" s="4" t="str">
        <x:v>start_here</x:v>
      </x:c>
      <x:c r="H27" s="4" t="str">
        <x:v>Regional reuse terms linked; license label empty</x:v>
      </x:c>
      <x:c r="I27" s="4" t="str">
        <x:v>custom_terms</x:v>
      </x:c>
      <x:c r="J27" s="4" t="str">
        <x:v>Monthly; catalog metadata dated 2026-09-04.</x:v>
      </x:c>
      <x:c r="K27" s="4" t="str">
        <x:v>Cartagena in Spain. Municipality publishes through the Región de Murcia catalog.</x:v>
      </x:c>
      <x:c r="L27" s="4" t="str">
        <x:v>https://datosabiertos.regiondemurcia.es/admin/dataset/listado-de-instalaciones-deportivas</x:v>
      </x:c>
    </x:row>
    <x:row r="28" ht="62" customHeight="1">
      <x:c r="A28" s="14" t="str">
        <x:v>PAM-BUDGET</x:v>
      </x:c>
      <x:c r="B28" s="14" t="str">
        <x:v>Pamplona municipal budget exports</x:v>
      </x:c>
      <x:c r="C28" s="14" t="str">
        <x:v>Pamplona</x:v>
      </x:c>
      <x:c r="D28" s="14" t="str">
        <x:v>municipal</x:v>
      </x:c>
      <x:c r="E28" s="14" t="str">
        <x:v>Public finance</x:v>
      </x:c>
      <x:c r="F28" s="14" t="str">
        <x:v>CSV | XLS | XML</x:v>
      </x:c>
      <x:c r="G28" s="14" t="str">
        <x:v>license_review</x:v>
      </x:c>
      <x:c r="H28" s="14" t="str">
        <x:v>Conflicting portal-level notices: municipal page CC BY 3.0; national initiative CC0. Check the selected resource.</x:v>
      </x:c>
      <x:c r="I28" s="14" t="str">
        <x:v>conflicting_portal_notices</x:v>
      </x:c>
      <x:c r="J28" s="14" t="str">
        <x:v>Mixed historical datasets; select and verify budget year. Other statistics on this page include older 2008–2015 series.</x:v>
      </x:c>
      <x:c r="K28" s="14" t="str">
        <x:v>Portal confirms formats, but a current-year budget file was not independently located. Included as a machine-readable discovery lead, not a fully verified current feed.</x:v>
      </x:c>
      <x:c r="L28" s="14" t="str">
        <x:v>https://www.pamplona.es/ayuntamiento/varios/open-data-ayuntamiento-de-pamplona | https://datos.gob.es/es/iniciativas/portal-open-data-ayuntamiento-de-pamplona</x:v>
      </x:c>
    </x:row>
    <x:row r="29" ht="42" customHeight="1">
      <x:c r="A29" s="4" t="str">
        <x:v>ALC-PARKING</x:v>
      </x:c>
      <x:c r="B29" s="4" t="str">
        <x:v>Alcalá de Henares public car parks</x:v>
      </x:c>
      <x:c r="C29" s="4" t="str">
        <x:v>Alcalá de Henares</x:v>
      </x:c>
      <x:c r="D29" s="4" t="str">
        <x:v>municipal</x:v>
      </x:c>
      <x:c r="E29" s="4" t="str">
        <x:v>Parking</x:v>
      </x:c>
      <x:c r="F29" s="4" t="str">
        <x:v>CSV | XLSX</x:v>
      </x:c>
      <x:c r="G29" s="4" t="str">
        <x:v>historical_or_stale</x:v>
      </x:c>
      <x:c r="H29" s="4" t="str">
        <x:v>Open Data Commons Attribution (ODC-BY)</x:v>
      </x:c>
      <x:c r="I29" s="4" t="str">
        <x:v>explicit</x:v>
      </x:c>
      <x:c r="J29" s="4" t="str">
        <x:v>Catalog last modification observed 2022-06-29.</x:v>
      </x:c>
      <x:c r="K29" s="4" t="str">
        <x:v>Static car park inventory, not confirmed live space availability.</x:v>
      </x:c>
      <x:c r="L29" s="4" t="str">
        <x:v>https://opendata.ayto-alcaladehenares.es/dataset/parkings</x:v>
      </x:c>
    </x:row>
    <x:row r="30" ht="62" customHeight="1">
      <x:c r="A30" s="14" t="str">
        <x:v>FUE-WATER</x:v>
      </x:c>
      <x:c r="B30" s="14" t="str">
        <x:v>Fuenlabrada drinking water quality</x:v>
      </x:c>
      <x:c r="C30" s="14" t="str">
        <x:v>Fuenlabrada</x:v>
      </x:c>
      <x:c r="D30" s="14" t="str">
        <x:v>municipal</x:v>
      </x:c>
      <x:c r="E30" s="14" t="str">
        <x:v>Water quality</x:v>
      </x:c>
      <x:c r="F30" s="14" t="str">
        <x:v>CSV | XLSX</x:v>
      </x:c>
      <x:c r="G30" s="14" t="str">
        <x:v>historical_or_stale</x:v>
      </x:c>
      <x:c r="H30" s="14" t="str">
        <x:v>Open Data Commons Attribution (ODC-BY)</x:v>
      </x:c>
      <x:c r="I30" s="14" t="str">
        <x:v>explicit</x:v>
      </x:c>
      <x:c r="J30" s="14" t="str">
        <x:v>Catalog last modification observed 2022-07-04.</x:v>
      </x:c>
      <x:c r="K30" s="14" t="str">
        <x:v>The /ro/ path is a portal interface locale, not a statement about the language of the data. Check sampling dates before using as current water-quality evidence.</x:v>
      </x:c>
      <x:c r="L30" s="14" t="str">
        <x:v>https://datosabiertos.ayto-fuenlabrada.es/ro/dataset/calidad-del-agua</x:v>
      </x:c>
    </x:row>
    <x:row r="31" ht="62" customHeight="1">
      <x:c r="A31" s="4" t="str">
        <x:v>DON-ADDRESSES</x:v>
      </x:c>
      <x:c r="B31" s="4" t="str">
        <x:v>Donostia / San Sebastián active postal addresses</x:v>
      </x:c>
      <x:c r="C31" s="4" t="str">
        <x:v>Donostia/San Sebastián</x:v>
      </x:c>
      <x:c r="D31" s="4" t="str">
        <x:v>municipal</x:v>
      </x:c>
      <x:c r="E31" s="4" t="str">
        <x:v>Addresses and geography</x:v>
      </x:c>
      <x:c r="F31" s="4" t="str">
        <x:v>CSV | GeoJSON</x:v>
      </x:c>
      <x:c r="G31" s="4" t="str">
        <x:v>start_here</x:v>
      </x:c>
      <x:c r="H31" s="4" t="str">
        <x:v>Portal footer CC BY-SA; version and resource applicability should be checked</x:v>
      </x:c>
      <x:c r="I31" s="4" t="str">
        <x:v>portal_notice_only</x:v>
      </x:c>
      <x:c r="J31" s="4" t="str">
        <x:v>Catalog updated 2026-10-04. Description says daily, but frequency metadata says monthly; discrepancy unresolved.</x:v>
      </x:c>
      <x:c r="K31" s="4" t="str">
        <x:v>Address, type, X/Y, neighbourhood, district, census section and cadastral reference. ETRS89 / UTM zone 30N, EPSG:25830. Do not interpret X/Y as longitude/latitude.</x:v>
      </x:c>
      <x:c r="L31" s="4" t="str">
        <x:v>https://www.donostia.eus/datosabiertos/catalogo/direcciones_activas</x:v>
      </x:c>
    </x:row>
    <x:row r="32" ht="75" customHeight="1">
      <x:c r="A32" s="14" t="str">
        <x:v>SAN-GTFS</x:v>
      </x:c>
      <x:c r="B32" s="14" t="str">
        <x:v>Santander TUS bus schedules</x:v>
      </x:c>
      <x:c r="C32" s="14" t="str">
        <x:v>Santander</x:v>
      </x:c>
      <x:c r="D32" s="14" t="str">
        <x:v>municipal_operator</x:v>
      </x:c>
      <x:c r="E32" s="14" t="str">
        <x:v>Public transport</x:v>
      </x:c>
      <x:c r="F32" s="14" t="str">
        <x:v>GTFS ZIP | CSV | JSON</x:v>
      </x:c>
      <x:c r="G32" s="14" t="str">
        <x:v>start_here</x:v>
      </x:c>
      <x:c r="H32" s="14" t="str">
        <x:v>CC BY 4.0</x:v>
      </x:c>
      <x:c r="I32" s="14" t="str">
        <x:v>explicit</x:v>
      </x:c>
      <x:c r="J32" s="14" t="str">
        <x:v>Schedule feed; verify service calendar after extraction. Catalog frequency labels should not be read as real-time arrivals.</x:v>
      </x:c>
      <x:c r="K32" s="14" t="str">
        <x:v>GTFS ZIP for the complete timetable; CSV/JSON resources for related timetable tables. Observed publisher download uses an HTTP proxy around an HTTPS target; review transport security before automation.</x:v>
      </x:c>
      <x:c r="L32" s="14" t="str">
        <x:v>https://datos.santander.es/dataset/?id=programacion-tus | https://datos.santander.es/resource/?ds=programacion-tus&amp;id=92f4a4e9-6132-4666-b673-aee4524dee3e</x:v>
      </x:c>
    </x:row>
    <x:row r="33" ht="62" customHeight="1">
      <x:c r="A33" s="4" t="str">
        <x:v>LOG-METEO</x:v>
      </x:c>
      <x:c r="B33" s="4" t="str">
        <x:v>Logroño measurement station readings, last 90 days</x:v>
      </x:c>
      <x:c r="C33" s="4" t="str">
        <x:v>Logroño</x:v>
      </x:c>
      <x:c r="D33" s="4" t="str">
        <x:v>municipal</x:v>
      </x:c>
      <x:c r="E33" s="4" t="str">
        <x:v>Weather and environment</x:v>
      </x:c>
      <x:c r="F33" s="4" t="str">
        <x:v>CSV | JSON</x:v>
      </x:c>
      <x:c r="G33" s="4" t="str">
        <x:v>review</x:v>
      </x:c>
      <x:c r="H33" s="4" t="str">
        <x:v>Not confirmed; review publisher terms</x:v>
      </x:c>
      <x:c r="I33" s="4" t="str">
        <x:v>not_confirmed</x:v>
      </x:c>
      <x:c r="J33" s="4" t="str">
        <x:v>Title says rolling 90 days; metadata says annual updates. Inspect observation timestamps before treating it as a live feed.</x:v>
      </x:c>
      <x:c r="K33" s="4" t="str">
        <x:v>Resolve cadence discrepancy and confirm reuse terms before production use.</x:v>
      </x:c>
      <x:c r="L33" s="4" t="str">
        <x:v>https://opendata.logrono.es/dataset/estaciones-meteo-90-dias</x:v>
      </x:c>
    </x:row>
    <x:row r="34" ht="49" customHeight="1">
      <x:c r="A34" s="14" t="str">
        <x:v>GIR-PERMITS</x:v>
      </x:c>
      <x:c r="B34" s="14" t="str">
        <x:v>Girona building permits</x:v>
      </x:c>
      <x:c r="C34" s="14" t="str">
        <x:v>Girona</x:v>
      </x:c>
      <x:c r="D34" s="14" t="str">
        <x:v>municipal</x:v>
      </x:c>
      <x:c r="E34" s="14" t="str">
        <x:v>Construction and permits</x:v>
      </x:c>
      <x:c r="F34" s="14" t="str">
        <x:v>CSV</x:v>
      </x:c>
      <x:c r="G34" s="14" t="str">
        <x:v>start_here</x:v>
      </x:c>
      <x:c r="H34" s="14" t="str">
        <x:v>Municipal reproduction/reuse terms; review dataset terms</x:v>
      </x:c>
      <x:c r="I34" s="14" t="str">
        <x:v>custom_terms</x:v>
      </x:c>
      <x:c r="J34" s="14" t="str">
        <x:v>Annual files listed for 2013–2025. Direct URL selects 2025; completeness not independently checked.</x:v>
      </x:c>
      <x:c r="K34" s="14" t="str">
        <x:v>A dated file is useful for reproducible historical analysis. Do not assume the listed latest year is complete.</x:v>
      </x:c>
      <x:c r="L34" s="14" t="str">
        <x:v>https://www.girona.cat/opendata/dataset/llicencies-d-obra</x:v>
      </x:c>
    </x:row>
    <x:row r="35" ht="62" customHeight="1">
      <x:c r="A35" s="4" t="str">
        <x:v>ALB-METRO</x:v>
      </x:c>
      <x:c r="B35" s="4" t="str">
        <x:v>Alcobendas metro stops</x:v>
      </x:c>
      <x:c r="C35" s="4" t="str">
        <x:v>Alcobendas</x:v>
      </x:c>
      <x:c r="D35" s="4" t="str">
        <x:v>municipal</x:v>
      </x:c>
      <x:c r="E35" s="4" t="str">
        <x:v>Public transport</x:v>
      </x:c>
      <x:c r="F35" s="4" t="str">
        <x:v>CSV | JSON | XLSX</x:v>
      </x:c>
      <x:c r="G35" s="4" t="str">
        <x:v>access_review</x:v>
      </x:c>
      <x:c r="H35" s="4" t="str">
        <x:v>Open Data Commons Attribution (ODC-BY)</x:v>
      </x:c>
      <x:c r="I35" s="4" t="str">
        <x:v>explicit</x:v>
      </x:c>
      <x:c r="J35" s="4" t="str">
        <x:v>Monthly claimed; catalog metadata observed 2024-10-03.</x:v>
      </x:c>
      <x:c r="K35" s="4" t="str">
        <x:v>403 may reflect host access controls or the research tool, not a permanently unavailable public dataset. Recheck from a normal client; alternative formats are listed.</x:v>
      </x:c>
      <x:c r="L35" s="4" t="str">
        <x:v>https://datos.alcobendas.org/dataset/paradas-de-metro</x:v>
      </x:c>
    </x:row>
  </x:sheetData>
  <x:pageMargins left="0.7" right="0.7" top="0.75" bottom="0.75" header="0.3" footer="0.3"/>
  <x:tableParts count="1">
    <x:tablePart xmlns:r="http://schemas.openxmlformats.org/officeDocument/2006/relationships" r:id="R053cccda2a3449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38" hidden="0" customWidth="1"/>
    <x:col min="7" max="7" width="32" hidden="0" customWidth="1"/>
    <x:col min="8" max="8" width="40" hidden="0" customWidth="1"/>
  </x:cols>
  <x:sheetData>
    <x:row r="1" ht="30" customHeight="1">
      <x:c r="A1" s="10" t="str">
        <x:v>Dataset ID</x:v>
      </x:c>
      <x:c r="B1" s="10" t="str">
        <x:v>Dataset title</x:v>
      </x:c>
      <x:c r="C1" s="10" t="str">
        <x:v>Direct data URL</x:v>
      </x:c>
      <x:c r="D1" s="10" t="str">
        <x:v>Data API URL</x:v>
      </x:c>
      <x:c r="E1" s="10" t="str">
        <x:v>Dataset landing URL</x:v>
      </x:c>
      <x:c r="F1" s="10" t="str">
        <x:v>Resource verification</x:v>
      </x:c>
      <x:c r="G1" s="10" t="str">
        <x:v>Format evidence</x:v>
      </x:c>
      <x:c r="H1" s="10" t="str">
        <x:v>City filter instructions</x:v>
      </x:c>
    </x:row>
    <x:row r="2" ht="49" customHeight="1">
      <x:c r="A2" s="14" t="str">
        <x:v>ES-POP</x:v>
      </x:c>
      <x:c r="B2" s="14" t="str">
        <x:v>Population by municipality and sex (INE table 68065)</x:v>
      </x:c>
      <x:c r="C2" s="14" t="str"/>
      <x:c r="D2" s="14" t="str">
        <x:v>https://servicios.ine.es/wstempus/js/ES/DATOS_TABLA/68065?nult=1</x:v>
      </x:c>
      <x:c r="E2" s="14" t="str">
        <x:v>https://www.ine.es/jaxiT3/Tabla.htm?t=68065</x:v>
      </x:c>
      <x:c r="F2" s="14" t="str">
        <x:v>documented_api_not_payload_tested</x:v>
      </x:c>
      <x:c r="G2" s="14" t="str">
        <x:v>INE table plus official JSON API documentation</x:v>
      </x:c>
      <x:c r="H2" s="14" t="str">
        <x:v>Select the municipality dimension using INE series metadata; preserve official municipality codes as strings.</x:v>
      </x:c>
    </x:row>
    <x:row r="3" ht="75" customHeight="1">
      <x:c r="A3" s="4" t="str">
        <x:v>AND-SPORT</x:v>
      </x:c>
      <x:c r="B3" s="4" t="str">
        <x:v>Andalucía sports facility census</x:v>
      </x:c>
      <x:c r="C3" s="4" t="str">
        <x:v>https://www.juntadeandalucia.es/datosabiertos/portal/dataset/b2e536c3-9e11-4d0d-ba47-ef92c1edddc0/resource/8e8e1b8f-6626-4a0b-93f8-9c99c4340797/download/censo_instalaciones_deportivas.csv</x:v>
      </x:c>
      <x:c r="D3" s="4" t="str"/>
      <x:c r="E3" s="4" t="str">
        <x:v>https://www.juntadeandalucia.es/datosabiertos/portal/dataset/censo-de-instalaciones-deportivas</x:v>
      </x:c>
      <x:c r="F3" s="4" t="str">
        <x:v>csv_response_observed_not_parsed</x:v>
      </x:c>
      <x:c r="G3" s="4" t="str">
        <x:v>publisher_dataset_page</x:v>
      </x:c>
      <x:c r="H3" s="4" t="str">
        <x:v>Filter municipio and provincia; confirm that the selected city has records.</x:v>
      </x:c>
    </x:row>
    <x:row r="4" ht="62" customHeight="1">
      <x:c r="A4" s="14" t="str">
        <x:v>VAL-SCHOOLS</x:v>
      </x:c>
      <x:c r="B4" s="14" t="str">
        <x:v>Comunitat Valenciana educational centres</x:v>
      </x:c>
      <x:c r="C4" s="14" t="str">
        <x:v>https://dadesobertes.gva.es/dataset/68eb1d94-76d3-4305-8507-e1aab7717d0e/resource/1aa53c3a-4639-41aa-ac85-d58254c428c0/download/centros-docentes-de-la-comunitat-valenciana.csv</x:v>
      </x:c>
      <x:c r="D4" s="14" t="str"/>
      <x:c r="E4" s="14" t="str">
        <x:v>https://dadesobertes.gva.es/es/dataset/edu-centros</x:v>
      </x:c>
      <x:c r="F4" s="14" t="str">
        <x:v>csv_response_observed_not_parsed</x:v>
      </x:c>
      <x:c r="G4" s="14" t="str">
        <x:v>publisher_dataset_page</x:v>
      </x:c>
      <x:c r="H4" s="14" t="str">
        <x:v>Use localidad and provincia; a municipality may contain several localities, so confirm the geographic mapping.</x:v>
      </x:c>
    </x:row>
    <x:row r="5" ht="62" customHeight="1">
      <x:c r="A5" s="4" t="str">
        <x:v>CAT-BUDGET</x:v>
      </x:c>
      <x:c r="B5" s="4" t="str">
        <x:v>Catalan local government budgets: economic and programme classifications</x:v>
      </x:c>
      <x:c r="C5" s="4" t="str"/>
      <x:c r="D5" s="4" t="str">
        <x:v>https://dadesobertes.seu-e.cat/api/action/datastore_search?resource_id=595f8620-7a3c-4e38-8be2-7cffa744cd44</x:v>
      </x:c>
      <x:c r="E5" s="4" t="str">
        <x:v>https://seu-e.cat/ca/web/santcugatdelvalles/dades-obertes/-/dadesobertes/dataset/48265d99-f8b8-4a63-9704-c30423fa5c6e</x:v>
      </x:c>
      <x:c r="F5" s="4" t="str">
        <x:v>documented_api_not_payload_tested</x:v>
      </x:c>
      <x:c r="G5" s="4" t="str">
        <x:v>publisher_dataset_page</x:v>
      </x:c>
      <x:c r="H5" s="4" t="str">
        <x:v>Filter codi_ens / nom_complert. The landing page is a Sant Cugat view of the shared Catalan dataset; the API URL here removes its city filter.</x:v>
      </x:c>
    </x:row>
    <x:row r="6" ht="42" customHeight="1">
      <x:c r="A6" s="14" t="str">
        <x:v>EUS-SPORT</x:v>
      </x:c>
      <x:c r="B6" s="14" t="str">
        <x:v>Euskadi sports facility census</x:v>
      </x:c>
      <x:c r="C6" s="14" t="str"/>
      <x:c r="D6" s="14" t="str"/>
      <x:c r="E6" s="14" t="str">
        <x:v>https://opendata.euskadi.eus/catalogo/-/censo-de-instalaciones-deportivas-de-euskadi/</x:v>
      </x:c>
      <x:c r="F6" s="14" t="str">
        <x:v>access_issue_alternative_exports_listed</x:v>
      </x:c>
      <x:c r="G6" s="14" t="str">
        <x:v>publisher_dataset_page</x:v>
      </x:c>
      <x:c r="H6" s="14" t="str">
        <x:v>Select municipality or spatially intersect facilities with the municipality boundary.</x:v>
      </x:c>
    </x:row>
    <x:row r="7" ht="49" customHeight="1">
      <x:c r="A7" s="4" t="str">
        <x:v>CYL-MONUMENTS</x:v>
      </x:c>
      <x:c r="B7" s="4" t="str">
        <x:v>Castilla y León tourism monument inventory</x:v>
      </x:c>
      <x:c r="C7" s="4" t="str"/>
      <x:c r="D7" s="4" t="str"/>
      <x:c r="E7" s="4" t="str">
        <x:v>https://analisis.datosabiertos.jcyl.es/explore/dataset/relacion-monumentos/information/</x:v>
      </x:c>
      <x:c r="F7" s="4" t="str">
        <x:v>api_link_listed_not_payload_tested</x:v>
      </x:c>
      <x:c r="G7" s="4" t="str">
        <x:v>publisher_dataset_page</x:v>
      </x:c>
      <x:c r="H7" s="4" t="str">
        <x:v>Filter the published municipality/locality and province fields; inspect the schema first.</x:v>
      </x:c>
    </x:row>
    <x:row r="8" ht="62" customHeight="1">
      <x:c r="A8" s="14" t="str">
        <x:v>BAL-GTFS</x:v>
      </x:c>
      <x:c r="B8" s="14" t="str">
        <x:v>Mallorca interurban public transport timetable (TIB / CTM)</x:v>
      </x:c>
      <x:c r="C8" s="14" t="str">
        <x:v>https://www.tib.org/documents/20124/478141/ctm-mallorca-es.zip/8481f8a8-7907-5118-4934-5b428b458ae7?t=1791371682201</x:v>
      </x:c>
      <x:c r="D8" s="14" t="str"/>
      <x:c r="E8" s="14" t="str">
        <x:v>https://www.tib.org/es/sobre-ctm/portal-de-transparencia/datos-abiertos</x:v>
      </x:c>
      <x:c r="F8" s="14" t="str">
        <x:v>zip_response_observed_not_parsed</x:v>
      </x:c>
      <x:c r="G8" s="14" t="str">
        <x:v>publisher_dataset_page</x:v>
      </x:c>
      <x:c r="H8" s="14" t="str">
        <x:v>Select Palma stops and related routes/trips; regional interurban network, not a substitute for the entire EMT Palma city network.</x:v>
      </x:c>
    </x:row>
    <x:row r="9" ht="62" customHeight="1">
      <x:c r="A9" s="4" t="str">
        <x:v>MAD-AIR</x:v>
      </x:c>
      <x:c r="B9" s="4" t="str">
        <x:v>Madrid hourly air quality, historical archive since 2001</x:v>
      </x:c>
      <x:c r="C9" s="4" t="str">
        <x:v>https://datos.madrid.es/dataset/201200-0-calidad-aire-horario/resource/201200-1-calidad-aire-horario-csv/download/201200_20260928_151412.csv</x:v>
      </x:c>
      <x:c r="D9" s="4" t="str"/>
      <x:c r="E9" s="4" t="str">
        <x:v>https://datos.madrid.es/dataset/201200-0-calidad-aire-horario</x:v>
      </x:c>
      <x:c r="F9" s="4" t="str">
        <x:v>download_link_observed_not_payload_tested</x:v>
      </x:c>
      <x:c r="G9" s="4" t="str">
        <x:v>publisher_dataset_page</x:v>
      </x:c>
      <x:c r="H9" s="4" t="str"/>
    </x:row>
    <x:row r="10" ht="49" customHeight="1">
      <x:c r="A10" s="14" t="str">
        <x:v>BCN-TRANSPORT</x:v>
      </x:c>
      <x:c r="B10" s="14" t="str">
        <x:v>Barcelona transport facilities inventory</x:v>
      </x:c>
      <x:c r="C10" s="14" t="str"/>
      <x:c r="D10" s="14" t="str"/>
      <x:c r="E10" s="14" t="str">
        <x:v>https://portaldades.ajuntament.barcelona.cat/microdades/8b5b8edb-28fd-4eb2-a936-94a116a1b5ad</x:v>
      </x:c>
      <x:c r="F10" s="14" t="str">
        <x:v>format_verified_export_requires_portal</x:v>
      </x:c>
      <x:c r="G10" s="14" t="str">
        <x:v>Official portal indexed dataset description</x:v>
      </x:c>
      <x:c r="H10" s="14" t="str"/>
    </x:row>
    <x:row r="11" ht="62" customHeight="1">
      <x:c r="A11" s="4" t="str">
        <x:v>BCN-PORT</x:v>
      </x:c>
      <x:c r="B11" s="4" t="str">
        <x:v>Port of Barcelona ship departures, 2026</x:v>
      </x:c>
      <x:c r="C11" s="4" t="str">
        <x:v>https://opendata.portdebarcelona.cat/dataset/d3c49461-db59-4b7d-a81a-d6d7d9b9d64e/resource/ff932739-0958-4bf9-88c1-dcf88e278c9d/download/escales_sortides_2026.csv</x:v>
      </x:c>
      <x:c r="D11" s="4" t="str"/>
      <x:c r="E11" s="4" t="str">
        <x:v>https://datos.gob.es/es/catalogo/ea0001302-escalas-salidas1</x:v>
      </x:c>
      <x:c r="F11" s="4" t="str">
        <x:v>download_link_observed_not_payload_tested</x:v>
      </x:c>
      <x:c r="G11" s="4" t="str">
        <x:v>National government catalog distribution</x:v>
      </x:c>
      <x:c r="H11" s="4" t="str"/>
    </x:row>
    <x:row r="12" ht="42" customHeight="1">
      <x:c r="A12" s="14" t="str">
        <x:v>VLC-GREEN</x:v>
      </x:c>
      <x:c r="B12" s="14" t="str">
        <x:v>Valencia gardens and green spaces</x:v>
      </x:c>
      <x:c r="C12" s="14" t="str">
        <x:v>https://geoportal.valencia.es/apps/OpenData/MedioAmbiente/JARD_ESP_VERDES_ACT.csv</x:v>
      </x:c>
      <x:c r="D12" s="14" t="str"/>
      <x:c r="E12" s="14" t="str">
        <x:v>https://opendata.vlci.valencia.es/dataset/gardens-and-green-spaces</x:v>
      </x:c>
      <x:c r="F12" s="14" t="str">
        <x:v>advertised_csv_returned_404</x:v>
      </x:c>
      <x:c r="G12" s="14" t="str">
        <x:v>publisher_dataset_page</x:v>
      </x:c>
      <x:c r="H12" s="14" t="str"/>
    </x:row>
    <x:row r="13" ht="42" customHeight="1">
      <x:c r="A13" s="4" t="str">
        <x:v>ZGZ-MONUMENTS</x:v>
      </x:c>
      <x:c r="B13" s="4" t="str">
        <x:v>Zaragoza monuments with opening information and coordinates</x:v>
      </x:c>
      <x:c r="C13" s="4" t="str"/>
      <x:c r="D13" s="4" t="str">
        <x:v>https://www.zaragoza.es/sede/servicio/monumento.json?rows=100&amp;fl=title,horario,geometry</x:v>
      </x:c>
      <x:c r="E13" s="4" t="str">
        <x:v>https://zaragoza.es/sede/portal/espacio-de-datos/herramientas/api-rest</x:v>
      </x:c>
      <x:c r="F13" s="4" t="str">
        <x:v>documented_api_not_payload_tested</x:v>
      </x:c>
      <x:c r="G13" s="4" t="str">
        <x:v>Official API documentation with example response</x:v>
      </x:c>
      <x:c r="H13" s="4" t="str"/>
    </x:row>
    <x:row r="14" ht="62" customHeight="1">
      <x:c r="A14" s="14" t="str">
        <x:v>ZGZ-EMISSIONS</x:v>
      </x:c>
      <x:c r="B14" s="14" t="str">
        <x:v>Zaragoza greenhouse gas inventory by year, district and sector</x:v>
      </x:c>
      <x:c r="C14" s="14" t="str"/>
      <x:c r="D14" s="14" t="str">
        <x:v>https://www.zaragoza.es/sede/servicio/inventario-emisiones/gases-efecto-invernadero-gei/Zaragoza/por-anyo?sector=ResidentialBuildings</x:v>
      </x:c>
      <x:c r="E14" s="14" t="str">
        <x:v>https://zaragoza.es/sede/portal/espacio-de-datos/herramientas/api-rest</x:v>
      </x:c>
      <x:c r="F14" s="14" t="str">
        <x:v>documented_api_not_payload_tested</x:v>
      </x:c>
      <x:c r="G14" s="14" t="str">
        <x:v>Official API documentation with example response</x:v>
      </x:c>
      <x:c r="H14" s="14" t="str"/>
    </x:row>
    <x:row r="15" ht="49" customHeight="1">
      <x:c r="A15" s="4" t="str">
        <x:v>MAL-BINS</x:v>
      </x:c>
      <x:c r="B15" s="4" t="str">
        <x:v>Málaga municipal solid waste container locations</x:v>
      </x:c>
      <x:c r="C15" s="4" t="str">
        <x:v>https://datosabiertos.malaga.eu/recursos/ambiente/limasa/da_rsu-4326.csv</x:v>
      </x:c>
      <x:c r="D15" s="4" t="str"/>
      <x:c r="E15" s="4" t="str">
        <x:v>https://datosabiertos.malaga.eu/dataset/contenedores-para-residuos-solidos-urbanos/resource/8a7f9d80-c7d0-45de-8583-f3fb91eb1928</x:v>
      </x:c>
      <x:c r="F15" s="4" t="str">
        <x:v>download_link_observed_not_payload_tested</x:v>
      </x:c>
      <x:c r="G15" s="4" t="str">
        <x:v>publisher_dataset_page</x:v>
      </x:c>
      <x:c r="H15" s="4" t="str"/>
    </x:row>
    <x:row r="16" ht="49" customHeight="1">
      <x:c r="A16" s="14" t="str">
        <x:v>MUR-VISITORS</x:v>
      </x:c>
      <x:c r="B16" s="14" t="str">
        <x:v>Murcia overnight visitor statistics</x:v>
      </x:c>
      <x:c r="C16" s="14" t="str"/>
      <x:c r="D16" s="14" t="str"/>
      <x:c r="E16" s="14" t="str">
        <x:v>https://transparencia.mimurcia.murcia.es/ckan-dataset/ee7b3bed-2adf-4fab-932c-ef132fbc6b06</x:v>
      </x:c>
      <x:c r="F16" s="14" t="str">
        <x:v>landing_and_format_verified</x:v>
      </x:c>
      <x:c r="G16" s="14" t="str">
        <x:v>publisher_dataset_page</x:v>
      </x:c>
      <x:c r="H16" s="14" t="str"/>
    </x:row>
    <x:row r="17" ht="42" customHeight="1">
      <x:c r="A17" s="4" t="str">
        <x:v>LPA-STOPS</x:v>
      </x:c>
      <x:c r="B17" s="4" t="str">
        <x:v>Guaguas Municipales bus stops</x:v>
      </x:c>
      <x:c r="C17" s="4" t="str"/>
      <x:c r="D17" s="4" t="str"/>
      <x:c r="E17" s="4" t="str">
        <x:v>https://datosabiertos.laspalmasgc.es/data/</x:v>
      </x:c>
      <x:c r="F17" s="4" t="str">
        <x:v>catalog_listing_only</x:v>
      </x:c>
      <x:c r="G17" s="4" t="str">
        <x:v>Official catalog listing</x:v>
      </x:c>
      <x:c r="H17" s="4" t="str"/>
    </x:row>
    <x:row r="18" ht="49" customHeight="1">
      <x:c r="A18" s="14" t="str">
        <x:v>BIO-PARCELS</x:v>
      </x:c>
      <x:c r="B18" s="14" t="str">
        <x:v>Bilbao cadastral parcels</x:v>
      </x:c>
      <x:c r="C18" s="14" t="str">
        <x:v>https://www.opendatabizkaia.eus/es/datastore/dump/524a2611-f96e-4fcc-b161-8483ffe9936e/parcelario-catastral-bilbao?format=csv</x:v>
      </x:c>
      <x:c r="D18" s="14" t="str"/>
      <x:c r="E18" s="14" t="str">
        <x:v>https://www.opendatabizkaia.eus/es/catalogo/parcelario-catastral-bilbao</x:v>
      </x:c>
      <x:c r="F18" s="14" t="str">
        <x:v>download_link_observed_not_payload_tested</x:v>
      </x:c>
      <x:c r="G18" s="14" t="str">
        <x:v>National catalog distribution</x:v>
      </x:c>
      <x:c r="H18" s="14" t="str"/>
    </x:row>
    <x:row r="19" ht="62" customHeight="1">
      <x:c r="A19" s="4" t="str">
        <x:v>COR-CRASHES</x:v>
      </x:c>
      <x:c r="B19" s="4" t="str">
        <x:v>Córdoba road traffic crashes</x:v>
      </x:c>
      <x:c r="C19" s="4" t="str">
        <x:v>https://datosabiertos.cordoba.es/ckan/dataset/473c44c3-eecb-4329-8295-f681bd22bcb1/resource/337bc929-d72a-408b-a6ba-b6f48e8dcb08/download/siniestros-viales-2023.csv</x:v>
      </x:c>
      <x:c r="D19" s="4" t="str"/>
      <x:c r="E19" s="4" t="str">
        <x:v>https://datosabiertos.cordoba.es/ckan/dataset/accidentes-de-trafico</x:v>
      </x:c>
      <x:c r="F19" s="4" t="str">
        <x:v>csv_response_observed_not_parsed</x:v>
      </x:c>
      <x:c r="G19" s="4" t="str">
        <x:v>publisher_dataset_page</x:v>
      </x:c>
      <x:c r="H19" s="4" t="str"/>
    </x:row>
    <x:row r="20" ht="49" customHeight="1">
      <x:c r="A20" s="14" t="str">
        <x:v>HOS-BICIBOX</x:v>
      </x:c>
      <x:c r="B20" s="14" t="str">
        <x:v>L’Hospitalet BiciBox bicycle parking locations and occupancy</x:v>
      </x:c>
      <x:c r="C20" s="14" t="str"/>
      <x:c r="D20" s="14" t="str">
        <x:v>https://dadesobertes.seu-e.cat/api/action/datastore_search?resource_id=e0c9410e-891f-4f83-950e-efa0d3cfd527</x:v>
      </x:c>
      <x:c r="E20" s="14" t="str">
        <x:v>https://seu-e.cat/ca/web/hospitaletdellobregat/dades-obertes/-/dadesobertes/dataset/e1bcf33c-3228-4b65-af1b-f0a0d017ef84</x:v>
      </x:c>
      <x:c r="F20" s="14" t="str">
        <x:v>documented_api_not_payload_tested</x:v>
      </x:c>
      <x:c r="G20" s="14" t="str">
        <x:v>publisher_dataset_page</x:v>
      </x:c>
      <x:c r="H20" s="14" t="str"/>
    </x:row>
    <x:row r="21" ht="42" customHeight="1">
      <x:c r="A21" s="4" t="str">
        <x:v>GIJ-AIR</x:v>
      </x:c>
      <x:c r="B21" s="4" t="str">
        <x:v>Gijón air quality measurements from the last week</x:v>
      </x:c>
      <x:c r="C21" s="4" t="str"/>
      <x:c r="D21" s="4" t="str"/>
      <x:c r="E21" s="4" t="str">
        <x:v>https://datos.gijon.es/</x:v>
      </x:c>
      <x:c r="F21" s="4" t="str">
        <x:v>catalog_listing_only</x:v>
      </x:c>
      <x:c r="G21" s="4" t="str">
        <x:v>Official catalog listing</x:v>
      </x:c>
      <x:c r="H21" s="4" t="str"/>
    </x:row>
    <x:row r="22" ht="42" customHeight="1">
      <x:c r="A22" s="14" t="str">
        <x:v>VIT-CONTRACTS</x:v>
      </x:c>
      <x:c r="B22" s="14" t="str">
        <x:v>Vitoria-Gasteiz minor public contracts</x:v>
      </x:c>
      <x:c r="C22" s="14" t="str"/>
      <x:c r="D22" s="14" t="str"/>
      <x:c r="E22" s="14" t="str">
        <x:v>https://www.vitoria-gasteiz.org/wb021/was/contenidoAction.do?idioma=es&amp;uid=app_j34_0009</x:v>
      </x:c>
      <x:c r="F22" s="14" t="str">
        <x:v>landing_and_format_verified</x:v>
      </x:c>
      <x:c r="G22" s="14" t="str">
        <x:v>publisher_dataset_page</x:v>
      </x:c>
      <x:c r="H22" s="14" t="str"/>
    </x:row>
    <x:row r="23" ht="62" customHeight="1">
      <x:c r="A23" s="4" t="str">
        <x:v>TER-RESTAURANTS</x:v>
      </x:c>
      <x:c r="B23" s="4" t="str">
        <x:v>Terrassa restaurant directory</x:v>
      </x:c>
      <x:c r="C23" s="4" t="str">
        <x:v>https://opendata.terrassa.cat/dataset/afdbef70-2126-4b1d-b395-51a520332560/resource/527c421a-47b0-43fd-80b2-a0bc8d8cbf30/download/actual_restaurants.csv</x:v>
      </x:c>
      <x:c r="D23" s="4" t="str"/>
      <x:c r="E23" s="4" t="str">
        <x:v>https://opendata.terrassa.cat/dataset/restaurants</x:v>
      </x:c>
      <x:c r="F23" s="4" t="str">
        <x:v>download_link_observed_not_payload_tested</x:v>
      </x:c>
      <x:c r="G23" s="4" t="str">
        <x:v>National government catalog distribution</x:v>
      </x:c>
      <x:c r="H23" s="4" t="str"/>
    </x:row>
    <x:row r="24" ht="42" customHeight="1">
      <x:c r="A24" s="14" t="str">
        <x:v>TER-BUDGET</x:v>
      </x:c>
      <x:c r="B24" s="14" t="str">
        <x:v>Terrassa municipal budgets</x:v>
      </x:c>
      <x:c r="C24" s="14" t="str"/>
      <x:c r="D24" s="14" t="str"/>
      <x:c r="E24" s="14" t="str">
        <x:v>https://pressupostos.terrassa.cat/descarga-datos</x:v>
      </x:c>
      <x:c r="F24" s="14" t="str">
        <x:v>landing_and_format_verified</x:v>
      </x:c>
      <x:c r="G24" s="14" t="str">
        <x:v>publisher_dataset_page</x:v>
      </x:c>
      <x:c r="H24" s="14" t="str"/>
    </x:row>
    <x:row r="25" ht="42" customHeight="1">
      <x:c r="A25" s="4" t="str">
        <x:v>TER-BOUNDARIES</x:v>
      </x:c>
      <x:c r="B25" s="4" t="str">
        <x:v>Terrassa neighbourhood and administrative boundary layers</x:v>
      </x:c>
      <x:c r="C25" s="4" t="str"/>
      <x:c r="D25" s="4" t="str"/>
      <x:c r="E25" s="4" t="str">
        <x:v>https://emap.terrassa.cat/geoPortal/?tab=descarregues</x:v>
      </x:c>
      <x:c r="F25" s="4" t="str">
        <x:v>landing_and_format_verified</x:v>
      </x:c>
      <x:c r="G25" s="4" t="str">
        <x:v>publisher_dataset_page</x:v>
      </x:c>
      <x:c r="H25" s="4" t="str"/>
    </x:row>
    <x:row r="26" ht="49" customHeight="1">
      <x:c r="A26" s="14" t="str">
        <x:v>SAB-POP</x:v>
      </x:c>
      <x:c r="B26" s="14" t="str">
        <x:v>Sabadell population by district, sex and nationality</x:v>
      </x:c>
      <x:c r="C26" s="14" t="str"/>
      <x:c r="D26" s="14" t="str"/>
      <x:c r="E26" s="14" t="str">
        <x:v>https://opendata.sabadell.cat/inici/fitxes-cataleg?cod=OD-%2CCSV&amp;title=Dades+en+format+CSV</x:v>
      </x:c>
      <x:c r="F26" s="14" t="str">
        <x:v>catalog_listing_only</x:v>
      </x:c>
      <x:c r="G26" s="14" t="str">
        <x:v>Official CSV-filtered catalog</x:v>
      </x:c>
      <x:c r="H26" s="14" t="str"/>
    </x:row>
    <x:row r="27" ht="49" customHeight="1">
      <x:c r="A27" s="4" t="str">
        <x:v>CAR-SPORT</x:v>
      </x:c>
      <x:c r="B27" s="4" t="str">
        <x:v>Cartagena municipal sports facilities</x:v>
      </x:c>
      <x:c r="C27" s="4" t="str">
        <x:v>https://www.cartagena.es/api/instalaciones_deportivas/CSV.asp</x:v>
      </x:c>
      <x:c r="D27" s="4" t="str"/>
      <x:c r="E27" s="4" t="str">
        <x:v>https://datosabiertos.regiondemurcia.es/admin/dataset/listado-de-instalaciones-deportivas</x:v>
      </x:c>
      <x:c r="F27" s="4" t="str">
        <x:v>csv_response_observed_not_parsed</x:v>
      </x:c>
      <x:c r="G27" s="4" t="str">
        <x:v>publisher_dataset_page</x:v>
      </x:c>
      <x:c r="H27" s="4" t="str"/>
    </x:row>
    <x:row r="28" ht="42" customHeight="1">
      <x:c r="A28" s="14" t="str">
        <x:v>PAM-BUDGET</x:v>
      </x:c>
      <x:c r="B28" s="14" t="str">
        <x:v>Pamplona municipal budget exports</x:v>
      </x:c>
      <x:c r="C28" s="14" t="str"/>
      <x:c r="D28" s="14" t="str"/>
      <x:c r="E28" s="14" t="str">
        <x:v>https://www.pamplona.es/ayuntamiento/varios/open-data-ayuntamiento-de-pamplona</x:v>
      </x:c>
      <x:c r="F28" s="14" t="str">
        <x:v>catalog_listing_only</x:v>
      </x:c>
      <x:c r="G28" s="14" t="str">
        <x:v>publisher_dataset_page</x:v>
      </x:c>
      <x:c r="H28" s="14" t="str"/>
    </x:row>
    <x:row r="29" ht="62" customHeight="1">
      <x:c r="A29" s="4" t="str">
        <x:v>ALC-PARKING</x:v>
      </x:c>
      <x:c r="B29" s="4" t="str">
        <x:v>Alcalá de Henares public car parks</x:v>
      </x:c>
      <x:c r="C29" s="4" t="str">
        <x:v>https://opendata.ayto-alcaladehenares.es/dataset/95ef5f37-d251-4521-910c-9d05040b00f3/resource/423955d2-38eb-41bc-b2e9-5a450a7289da/download/aparcamientos-publicos.csv</x:v>
      </x:c>
      <x:c r="D29" s="4" t="str"/>
      <x:c r="E29" s="4" t="str">
        <x:v>https://opendata.ayto-alcaladehenares.es/dataset/parkings</x:v>
      </x:c>
      <x:c r="F29" s="4" t="str">
        <x:v>csv_response_observed_not_parsed</x:v>
      </x:c>
      <x:c r="G29" s="4" t="str">
        <x:v>publisher_dataset_page</x:v>
      </x:c>
      <x:c r="H29" s="4" t="str"/>
    </x:row>
    <x:row r="30" ht="62" customHeight="1">
      <x:c r="A30" s="14" t="str">
        <x:v>FUE-WATER</x:v>
      </x:c>
      <x:c r="B30" s="14" t="str">
        <x:v>Fuenlabrada drinking water quality</x:v>
      </x:c>
      <x:c r="C30" s="14" t="str">
        <x:v>https://datosabiertos.ayto-fuenlabrada.es/dataset/6afba058-b3ab-4579-af92-592aa4110050/resource/f3461564-b4d1-41b5-bf40-a9eb456c747b/download/261an_1.csv</x:v>
      </x:c>
      <x:c r="D30" s="14" t="str"/>
      <x:c r="E30" s="14" t="str">
        <x:v>https://datosabiertos.ayto-fuenlabrada.es/ro/dataset/calidad-del-agua</x:v>
      </x:c>
      <x:c r="F30" s="14" t="str">
        <x:v>csv_response_observed_not_parsed</x:v>
      </x:c>
      <x:c r="G30" s="14" t="str">
        <x:v>publisher_dataset_page</x:v>
      </x:c>
      <x:c r="H30" s="14" t="str"/>
    </x:row>
    <x:row r="31" ht="49" customHeight="1">
      <x:c r="A31" s="4" t="str">
        <x:v>DON-ADDRESSES</x:v>
      </x:c>
      <x:c r="B31" s="4" t="str">
        <x:v>Donostia / San Sebastián active postal addresses</x:v>
      </x:c>
      <x:c r="C31" s="4" t="str">
        <x:v>https://www.donostia.eus/datosabiertos/recursos/direcciones_activas/indarrekohelbideak.csv</x:v>
      </x:c>
      <x:c r="D31" s="4" t="str"/>
      <x:c r="E31" s="4" t="str">
        <x:v>https://www.donostia.eus/datosabiertos/catalogo/direcciones_activas</x:v>
      </x:c>
      <x:c r="F31" s="4" t="str">
        <x:v>csv_response_observed_not_parsed</x:v>
      </x:c>
      <x:c r="G31" s="4" t="str">
        <x:v>publisher_dataset_page</x:v>
      </x:c>
      <x:c r="H31" s="4" t="str"/>
    </x:row>
    <x:row r="32" ht="75" customHeight="1">
      <x:c r="A32" s="14" t="str">
        <x:v>SAN-GTFS</x:v>
      </x:c>
      <x:c r="B32" s="14" t="str">
        <x:v>Santander TUS bus schedules</x:v>
      </x:c>
      <x:c r="C32" s="14" t="str">
        <x:v>http://datos.santander.es/wp-content/themes/viavansi-ogov-current/cgi-bin/proxy.cgi?url=https%3A%2F%2Fnc.santander.es%2Fpublic.php%2Fdav%2Ffiles%2FwEoXHXJHD99AZPZ%2F%3Faccept%3Dzip</x:v>
      </x:c>
      <x:c r="D32" s="14" t="str"/>
      <x:c r="E32" s="14" t="str">
        <x:v>https://datos.santander.es/dataset/?id=programacion-tus</x:v>
      </x:c>
      <x:c r="F32" s="14" t="str">
        <x:v>download_link_observed_not_payload_tested</x:v>
      </x:c>
      <x:c r="G32" s="14" t="str">
        <x:v>publisher_dataset_page</x:v>
      </x:c>
      <x:c r="H32" s="14" t="str"/>
    </x:row>
    <x:row r="33" ht="62" customHeight="1">
      <x:c r="A33" s="4" t="str">
        <x:v>LOG-METEO</x:v>
      </x:c>
      <x:c r="B33" s="4" t="str">
        <x:v>Logroño measurement station readings, last 90 days</x:v>
      </x:c>
      <x:c r="C33" s="4" t="str">
        <x:v>https://opendata.logrono.es/dataset/a3b924a0-0a3e-4183-927d-03066a816bea/resource/09751bc5-83cb-480f-a128-768f43483782/download/estaciones-meteo-90-dias.csv</x:v>
      </x:c>
      <x:c r="D33" s="4" t="str"/>
      <x:c r="E33" s="4" t="str">
        <x:v>https://opendata.logrono.es/dataset/estaciones-meteo-90-dias</x:v>
      </x:c>
      <x:c r="F33" s="4" t="str">
        <x:v>csv_response_observed_not_parsed</x:v>
      </x:c>
      <x:c r="G33" s="4" t="str">
        <x:v>publisher_dataset_page</x:v>
      </x:c>
      <x:c r="H33" s="4" t="str"/>
    </x:row>
    <x:row r="34" ht="42" customHeight="1">
      <x:c r="A34" s="14" t="str">
        <x:v>GIR-PERMITS</x:v>
      </x:c>
      <x:c r="B34" s="14" t="str">
        <x:v>Girona building permits</x:v>
      </x:c>
      <x:c r="C34" s="14" t="str">
        <x:v>https://cdn.girona.cat/umat/Obres2025.csv</x:v>
      </x:c>
      <x:c r="D34" s="14" t="str"/>
      <x:c r="E34" s="14" t="str">
        <x:v>https://www.girona.cat/opendata/dataset/llicencies-d-obra</x:v>
      </x:c>
      <x:c r="F34" s="14" t="str">
        <x:v>file_response_observed_not_parsed</x:v>
      </x:c>
      <x:c r="G34" s="14" t="str">
        <x:v>publisher_dataset_page</x:v>
      </x:c>
      <x:c r="H34" s="14" t="str"/>
    </x:row>
    <x:row r="35" ht="62" customHeight="1">
      <x:c r="A35" s="4" t="str">
        <x:v>ALB-METRO</x:v>
      </x:c>
      <x:c r="B35" s="4" t="str">
        <x:v>Alcobendas metro stops</x:v>
      </x:c>
      <x:c r="C35" s="4" t="str">
        <x:v>https://datos.alcobendas.org/dataset/33d5f98b-59a5-4d71-842a-82951ad9433b/resource/7241435a-34c6-4f17-94c6-007f079c6d5e/download/stopsmetro.csv</x:v>
      </x:c>
      <x:c r="D35" s="4" t="str"/>
      <x:c r="E35" s="4" t="str">
        <x:v>https://datos.alcobendas.org/dataset/paradas-de-metro</x:v>
      </x:c>
      <x:c r="F35" s="4" t="str">
        <x:v>advertised_csv_returned_403</x:v>
      </x:c>
      <x:c r="G35" s="4" t="str">
        <x:v>publisher_dataset_page</x:v>
      </x:c>
      <x:c r="H35" s="4" t="str"/>
    </x:row>
  </x:sheetData>
  <x:pageMargins left="0.7" right="0.7" top="0.75" bottom="0.75" header="0.3" footer="0.3"/>
  <x:tableParts count="1">
    <x:tablePart xmlns:r="http://schemas.openxmlformats.org/officeDocument/2006/relationships" r:id="Ra49cfafaaabd41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30" customHeight="1">
      <x:c r="A1" s="10" t="str">
        <x:v>Source</x:v>
      </x:c>
      <x:c r="B1" s="10" t="str">
        <x:v>Purpose</x:v>
      </x:c>
      <x:c r="C1" s="10" t="str">
        <x:v>Portal / documentation URL</x:v>
      </x:c>
      <x:c r="D1" s="10" t="str">
        <x:v>Discovery API URL</x:v>
      </x:c>
      <x:c r="E1" s="10" t="str">
        <x:v>Notes</x:v>
      </x:c>
      <x:c r="F1" s="10" t="str">
        <x:v>Source URL</x:v>
      </x:c>
    </x:row>
    <x:row r="2" ht="62" customHeight="1">
      <x:c r="A2" s="14" t="str">
        <x:v>Spain national open data catalog</x:v>
      </x:c>
      <x:c r="B2" s="14" t="str">
        <x:v>Discover dataset metadata and distribution links across publishers; does not return the underlying dataset rows.</x:v>
      </x:c>
      <x:c r="C2" s="14" t="str">
        <x:v>https://datos.gob.es/es/catalogo</x:v>
      </x:c>
      <x:c r="D2" s="14" t="str">
        <x:v>https://datos.gob.es/apidata/catalog/dataset.json</x:v>
      </x:c>
      <x:c r="E2" s="14" t="str">
        <x:v>Official API documentation: https://datos.gob.es/es/accessible-apidata . Catalog pagination uses _page and _pageSize (maximum 50).</x:v>
      </x:c>
      <x:c r="F2" s="14" t="str">
        <x:v>https://datos.gob.es/es/accessible-apidata</x:v>
      </x:c>
    </x:row>
    <x:row r="3" ht="49" customHeight="1">
      <x:c r="A3" s="4" t="str">
        <x:v>FEMP local open data directory</x:v>
      </x:c>
      <x:c r="B3" s="4" t="str">
        <x:v>Discover municipal portal and dataset leads; directory membership is not a guarantee of live downloads.</x:v>
      </x:c>
      <x:c r="C3" s="4" t="str">
        <x:v>https://datosabiertosfemp.es/frontend/web/index.php?r=entidades/index</x:v>
      </x:c>
      <x:c r="D3" s="4" t="str"/>
      <x:c r="E3" s="4" t="str">
        <x:v>Examples: https://datosabiertosfemp.es/frontend/web/index.php?r=dataset/index_ejemplos&amp;sort=-caso_uso_2_entidad</x:v>
      </x:c>
      <x:c r="F3" s="4" t="str">
        <x:v>https://datosabiertosfemp.es/frontend/web/index.php?r=entidades/index</x:v>
      </x:c>
    </x:row>
    <x:row r="4" ht="49" customHeight="1">
      <x:c r="A4" s="14" t="str">
        <x:v>INE JSON API documentation</x:v>
      </x:c>
      <x:c r="B4" s="14" t="str">
        <x:v>Fetch observation data from INE tables; unlike catalog APIs, DATOS_TABLA returns statistical series.</x:v>
      </x:c>
      <x:c r="C4" s="14" t="str">
        <x:v>https://www.ine.es/dyngs/DAB/index.htm?cid=1102</x:v>
      </x:c>
      <x:c r="D4" s="14" t="str"/>
      <x:c r="E4" s="14" t="str">
        <x:v>Use SERIES_TABLA / metadata to discover filter values; do not invent municipality codes or variable identifiers.</x:v>
      </x:c>
      <x:c r="F4" s="14" t="str">
        <x:v>https://www.ine.es/dyngs/DAB/index.htm?cid=1102</x:v>
      </x:c>
    </x:row>
    <x:row r="5" ht="75" customHeight="1">
      <x:c r="A5" s="4" t="str">
        <x:v>CKAN API documentation</x:v>
      </x:c>
      <x:c r="B5" s="4" t="str">
        <x:v>Understand metadata discovery versus record retrieval.</x:v>
      </x:c>
      <x:c r="C5" s="4" t="str">
        <x:v>https://docs.ckan.org/en/2.10/api/</x:v>
      </x:c>
      <x:c r="D5" s="4" t="str"/>
      <x:c r="E5" s="4" t="str">
        <x:v>package_search/package_show return metadata; datastore_search returns records only for resources with DataStore support. A CKAN portal does not guarantee every resource has a queryable table.</x:v>
      </x:c>
      <x:c r="F5" s="4" t="str">
        <x:v>https://docs.ckan.org/en/2.10/api/</x:v>
      </x:c>
    </x:row>
    <x:row r="6" ht="49" customHeight="1">
      <x:c r="A6" s="14" t="str">
        <x:v>Zaragoza REST API</x:v>
      </x:c>
      <x:c r="B6" s="14" t="str">
        <x:v>Documented data endpoints with JSON, CSV and GeoJSON response formats.</x:v>
      </x:c>
      <x:c r="C6" s="14" t="str">
        <x:v>https://zaragoza.es/sede/portal/espacio-de-datos/herramientas/api-rest</x:v>
      </x:c>
      <x:c r="D6" s="14" t="str">
        <x:v>https://www.zaragoza.es/sede/servicio/catalogo/api.json</x:v>
      </x:c>
      <x:c r="E6" s="14" t="str">
        <x:v>The api_url here is catalog metadata. Use dataset endpoints in the Datasets table for actual observations.</x:v>
      </x:c>
      <x:c r="F6" s="14" t="str">
        <x:v>https://zaragoza.es/sede/portal/espacio-de-datos/herramientas/api-rest</x:v>
      </x:c>
    </x:row>
    <x:row r="7" ht="49" customHeight="1">
      <x:c r="A7" s="4" t="str">
        <x:v>Madrid regional transport portal (CRTM)</x:v>
      </x:c>
      <x:c r="B7" s="4" t="str">
        <x:v>Additional transport discovery lead for Madrid-region municipalities.</x:v>
      </x:c>
      <x:c r="C7" s="4" t="str">
        <x:v>https://data-crtm.opendata.arcgis.com/</x:v>
      </x:c>
      <x:c r="D7" s="4" t="str"/>
      <x:c r="E7" s="4" t="str">
        <x:v>Portal observed, but specific transport exports were not verified. Not counted as a dataset in this catalog.</x:v>
      </x:c>
      <x:c r="F7" s="4" t="str">
        <x:v>https://data-crtm.opendata.arcgis.com/</x:v>
      </x:c>
    </x:row>
    <x:row r="8" ht="62" customHeight="1">
      <x:c r="A8" s="14" t="str">
        <x:v>Granada provincial catalog</x:v>
      </x:c>
      <x:c r="B8" s="14" t="str">
        <x:v>Additional provincial tourism, geography and statistics discovery lead.</x:v>
      </x:c>
      <x:c r="C8" s="14" t="str">
        <x:v>https://catalogo.dipgra.es/es</x:v>
      </x:c>
      <x:c r="D8" s="14" t="str"/>
      <x:c r="E8" s="14" t="str">
        <x:v>CSV and GeoJSON examples appear in the catalog. Municipality-level applicability and export payloads were not checked; not counted as a dataset.</x:v>
      </x:c>
      <x:c r="F8" s="14" t="str">
        <x:v>https://catalogo.dipgra.es/es</x:v>
      </x:c>
    </x:row>
  </x:sheetData>
  <x:pageMargins left="0.7" right="0.7" top="0.75" bottom="0.75" header="0.3" footer="0.3"/>
  <x:tableParts count="1">
    <x:tablePart xmlns:r="http://schemas.openxmlformats.org/officeDocument/2006/relationships" r:id="Rf3f767c2e1664e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</x:cols>
  <x:sheetData>
    <x:row r="1" ht="30" customHeight="1">
      <x:c r="A1" s="10" t="str">
        <x:v>Item</x:v>
      </x:c>
      <x:c r="B1" s="10" t="str">
        <x:v>Guidance</x:v>
      </x:c>
      <x:c r="C1" s="10" t="str">
        <x:v>Reference URL</x:v>
      </x:c>
    </x:row>
    <x:row r="2" ht="90" customHeight="1">
      <x:c r="A2" s="14" t="str">
        <x:v>Scope</x:v>
      </x:c>
      <x:c r="B2" s="14" t="str">
        <x:v>Municipalities, not metropolitan areas. The city selection is editorial, not a population ranking.</x:v>
      </x:c>
      <x:c r="C2" s="14" t="str"/>
    </x:row>
    <x:row r="3" ht="90" customHeight="1">
      <x:c r="A3" s="4" t="str">
        <x:v>Coverage classes</x:v>
      </x:c>
      <x:c r="B3" s="4" t="str">
        <x:v>City-specific means a city-scoped dataset or catalog listing was identified. Regional means filtering is required. National-only is an explicit local-data gap.</x:v>
      </x:c>
      <x:c r="C3" s="4" t="str"/>
    </x:row>
    <x:row r="4" ht="90" customHeight="1">
      <x:c r="A4" s="14" t="str">
        <x:v>Validation limit</x:v>
      </x:c>
      <x:c r="B4" s="14" t="str">
        <x:v>No source dataset was downloaded and parsed end to end. Content-type observations, documented APIs and catalog listings are distinguished.</x:v>
      </x:c>
      <x:c r="C4" s="14" t="str"/>
    </x:row>
    <x:row r="5" ht="90" customHeight="1">
      <x:c r="A5" s="4" t="str">
        <x:v>Exact resource links</x:v>
      </x:c>
      <x:c r="B5" s="4" t="str">
        <x:v>Use Access for direct file and data API URLs. Blank means no exact URL established. Known errors remain visible rather than being presented as working feeds.</x:v>
      </x:c>
      <x:c r="C5" s="4" t="str"/>
    </x:row>
    <x:row r="6" ht="90" customHeight="1">
      <x:c r="A6" s="14" t="str">
        <x:v>Licensing</x:v>
      </x:c>
      <x:c r="B6" s="14" t="str">
        <x:v>Review the License evidence column. Public access and a CSV format are not a guarantee of unrestricted reuse.</x:v>
      </x:c>
      <x:c r="C6" s="14" t="str"/>
    </x:row>
    <x:row r="7" ht="90" customHeight="1">
      <x:c r="A7" s="4" t="str">
        <x:v>Source freshness</x:v>
      </x:c>
      <x:c r="B7" s="4" t="str">
        <x:v>Read observation dates separately from catalog timestamps. Historical and cadence-conflict cases are noted per dataset.</x:v>
      </x:c>
      <x:c r="C7" s="4" t="str"/>
    </x:row>
    <x:row r="8" ht="90" customHeight="1">
      <x:c r="A8" s="14" t="str">
        <x:v>Join the catalogs</x:v>
      </x:c>
      <x:c r="B8" s="14" t="str">
        <x:v>Use spain_city_dataset_links.csv for a normalized many-to-many join. Internal CITY-xxx IDs are not INE municipality codes.</x:v>
      </x:c>
      <x:c r="C8" s="14" t="str"/>
    </x:row>
    <x:row r="9" ht="90" customHeight="1">
      <x:c r="A9" s="4" t="str">
        <x:v>National baseline</x:v>
      </x:c>
      <x:c r="B9" s="4" t="str">
        <x:v>INE table 68065 provides municipality/sex population series. The API route is documentation-derived and not payload tested.</x:v>
      </x:c>
      <x:c r="C9" s="4" t="str">
        <x:v>https://www.ine.es/dyngs/DAB/index.htm?cid=1102</x:v>
      </x:c>
    </x:row>
    <x:row r="10" ht="90" customHeight="1">
      <x:c r="A10" s="14" t="str">
        <x:v>CKAN metadata vs rows</x:v>
      </x:c>
      <x:c r="B10" s="14" t="str">
        <x:v>package_search and package_show describe datasets. datastore_search returns rows only for resources enabled in DataStore.</x:v>
      </x:c>
      <x:c r="C10" s="14" t="str">
        <x:v>https://docs.ckan.org/en/2.10/api/</x:v>
      </x:c>
    </x:row>
    <x:row r="11" ht="90" customHeight="1">
      <x:c r="A11" s="4" t="str">
        <x:v>API pagination</x:v>
      </x:c>
      <x:c r="B11" s="4" t="str">
        <x:v>AOC: inspect result.fields and page limit/offset. Zaragoza: use start/rows and totalCount. Do not assume the first response is complete.</x:v>
      </x:c>
      <x:c r="C11" s="4" t="str">
        <x:v>https://zaragoza.es/sede/portal/espacio-de-datos/herramientas/api-rest</x:v>
      </x:c>
    </x:row>
    <x:row r="12" ht="90" customHeight="1">
      <x:c r="A12" s="14" t="str">
        <x:v>Coordinates</x:v>
      </x:c>
      <x:c r="B12" s="14" t="str">
        <x:v>Donostia addresses: EPSG:25830. Zaragoza default: UTM30. Málaga linked CSV: EPSG:4326. Confirm CRS and axis order before spatial analysis.</x:v>
      </x:c>
      <x:c r="C12" s="14" t="str">
        <x:v>https://www.donostia.eus/datosabiertos/catalogo/direcciones_activas</x:v>
      </x:c>
    </x:row>
    <x:row r="13" ht="90" customHeight="1">
      <x:c r="A13" s="4" t="str">
        <x:v>GTFS</x:v>
      </x:c>
      <x:c r="B13" s="4" t="str">
        <x:v>The included Santander and Mallorca GTFS feeds describe scheduled service, not live arrivals. Check feed validity dates and preserve IDs as strings.</x:v>
      </x:c>
      <x:c r="C13" s="4" t="str">
        <x:v>https://datos.santander.es/dataset/?id=programacion-tus</x:v>
      </x:c>
    </x:row>
    <x:row r="14" ht="90" customHeight="1">
      <x:c r="A14" s="14" t="str">
        <x:v>Valencia exception</x:v>
      </x:c>
      <x:c r="B14" s="14" t="str">
        <x:v>Advertised gardens CSV returned 404. Alternative formats are listed but not confirmed working.</x:v>
      </x:c>
      <x:c r="C14" s="14" t="str">
        <x:v>https://opendata.vlci.valencia.es/dataset/gardens-and-green-spaces</x:v>
      </x:c>
    </x:row>
    <x:row r="15" ht="90" customHeight="1">
      <x:c r="A15" s="4" t="str">
        <x:v>Other access exceptions</x:v>
      </x:c>
      <x:c r="B15" s="4" t="str">
        <x:v>Alcobendas CSV returned 403 in the research tool. Euskadi sports GeoJSON returned 404. Alternative resources require validation.</x:v>
      </x:c>
      <x:c r="C15" s="4" t="str">
        <x:v>https://datos.alcobendas.org/dataset/paradas-de-metro</x:v>
      </x:c>
    </x:row>
    <x:row r="16" ht="90" customHeight="1">
      <x:c r="A16" s="14" t="str">
        <x:v>CSV conventions</x:v>
      </x:c>
      <x:c r="B16" s="14" t="str">
        <x:v>Catalog files: UTF-8 BOM, comma delimiter, quoted fields. Source files may use other encodings, separators or decimal conventions.</x:v>
      </x:c>
      <x:c r="C16" s="14" t="str"/>
    </x:row>
    <x:row r="17" ht="90" customHeight="1">
      <x:c r="A17" s="4" t="str">
        <x:v>JSON conventions</x:v>
      </x:c>
      <x:c r="B17" s="4" t="str">
        <x:v>The JSON catalog retains lists as arrays. Dataset metadata and source observations are separate: observations are not bundled.</x:v>
      </x:c>
      <x:c r="C17" s="4" t="str"/>
    </x:row>
    <x:row r="18" ht="90" customHeight="1">
      <x:c r="A18" s="14" t="str">
        <x:v>Full details</x:v>
      </x:c>
      <x:c r="B18" s="14" t="str">
        <x:v>See README_spain_open_data.md and the CSV/JSON exports for all fields and the complete normalized city-to-dataset mapping.</x:v>
      </x:c>
      <x:c r="C18" s="14" t="str"/>
    </x:row>
  </x:sheetData>
  <x:pageMargins left="0.7" right="0.7" top="0.75" bottom="0.75" header="0.3" footer="0.3"/>
  <x:tableParts count="1">
    <x:tablePart xmlns:r="http://schemas.openxmlformats.org/officeDocument/2006/relationships" r:id="R6de9a2c6d8be4bb3"/>
  </x:tableParts>
</x:worksheet>
</file>