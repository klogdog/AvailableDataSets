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8d7244175043a0" /></Relationships>
</file>

<file path=xl/workbook.xml><?xml version="1.0" encoding="utf-8"?>
<x:workbook xmlns:x="http://schemas.openxmlformats.org/spreadsheetml/2006/main">
  <x:sheets>
    <x:sheet xmlns:r="http://schemas.openxmlformats.org/officeDocument/2006/relationships" name="Overview" sheetId="1" r:id="R5496c55adcef4706"/>
    <x:sheet xmlns:r="http://schemas.openxmlformats.org/officeDocument/2006/relationships" name="Datasets" sheetId="2" r:id="R7e961b2a1e824430"/>
    <x:sheet xmlns:r="http://schemas.openxmlformats.org/officeDocument/2006/relationships" name="City Sources" sheetId="3" r:id="R65c0a2ae65894966"/>
    <x:sheet xmlns:r="http://schemas.openxmlformats.org/officeDocument/2006/relationships" name="National Baseline" sheetId="4" r:id="R4994c73c05054695"/>
    <x:sheet xmlns:r="http://schemas.openxmlformats.org/officeDocument/2006/relationships" name="Access Guide" sheetId="5" r:id="R070a6f71d2c04f2e"/>
    <x:sheet xmlns:r="http://schemas.openxmlformats.org/officeDocument/2006/relationships" name="Caveats" sheetId="6" r:id="R12c83699af354253"/>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10"/>
      <x:name val="Carlito"/>
    </x:font>
    <x:font>
      <x:b/>
      <x:sz val="18"/>
      <x:color rgb="FFFFFFFF"/>
      <x:name val="Carlito"/>
    </x:font>
    <x:font>
      <x:sz val="10"/>
      <x:color rgb="FF23384D"/>
      <x:name val="Carlito"/>
    </x:font>
    <x:font>
      <x:b/>
      <x:sz val="10"/>
      <x:color rgb="FFFFFFFF"/>
      <x:name val="Carlito"/>
    </x:font>
    <x:font>
      <x:b/>
      <x:sz val="11"/>
      <x:color rgb="FFFFFFFF"/>
      <x:name val="Carlito"/>
    </x:font>
    <x:font>
      <x:b/>
      <x:sz val="23"/>
      <x:color rgb="FFFFFFFF"/>
      <x:name val="Carlito"/>
    </x:font>
    <x:font>
      <x:b/>
      <x:sz val="30"/>
      <x:color rgb="FF132B43"/>
      <x:name val="Carlito"/>
    </x:font>
    <x:font>
      <x:b/>
      <x:sz val="11"/>
      <x:color rgb="FF23384D"/>
      <x:name val="Carlito"/>
    </x:font>
    <x:font>
      <x:b/>
      <x:sz val="10"/>
      <x:color rgb="FF23384D"/>
      <x:name val="Carlito"/>
    </x:font>
  </x:fonts>
  <x:fills count="11">
    <x:fill>
      <x:patternFill patternType="none"/>
    </x:fill>
    <x:fill>
      <x:patternFill patternType="gray125"/>
    </x:fill>
    <x:fill>
      <x:patternFill patternType="solid">
        <x:fgColor rgb="FF132B43"/>
      </x:patternFill>
    </x:fill>
    <x:fill>
      <x:patternFill patternType="solid">
        <x:fgColor rgb="FFE9F4F4"/>
      </x:patternFill>
    </x:fill>
    <x:fill>
      <x:patternFill patternType="solid">
        <x:fgColor rgb="FF007C83"/>
      </x:patternFill>
    </x:fill>
    <x:fill>
      <x:patternFill patternType="solid">
        <x:fgColor rgb="FFF2F5F8"/>
      </x:patternFill>
    </x:fill>
    <x:fill>
      <x:patternFill patternType="solid">
        <x:fgColor rgb="FFCDECE5"/>
      </x:patternFill>
    </x:fill>
    <x:fill>
      <x:patternFill patternType="solid">
        <x:fgColor rgb="FFE0F2ED"/>
      </x:patternFill>
    </x:fill>
    <x:fill>
      <x:patternFill patternType="solid">
        <x:fgColor rgb="FFE7EFF9"/>
      </x:patternFill>
    </x:fill>
    <x:fill>
      <x:patternFill patternType="solid">
        <x:fgColor rgb="FFFFF0CD"/>
      </x:patternFill>
    </x:fill>
    <x:fill>
      <x:patternFill patternType="solid">
        <x:fgColor rgb="FFFFFFFF"/>
      </x:patternFill>
    </x:fill>
  </x:fills>
  <x:borders count="2">
    <x:border/>
    <x:border/>
  </x:borders>
  <x:cellStyleXfs count="1">
    <x:xf numFmtId="0" fontId="0" fillId="0" borderId="0"/>
  </x:cellStyleXfs>
  <x:cellXfs count="8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1"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1"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3"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vertical="center"/>
    </x:xf>
    <x:xf numFmtId="0" fontId="3" fillId="2" borderId="1" xfId="0" applyNumberFormat="1" applyFont="1" applyFill="1" applyBorder="1"/>
    <x:xf numFmtId="0" fontId="6" fillId="2" borderId="1" xfId="0" applyNumberFormat="1" applyFont="1" applyFill="1" applyBorder="1"/>
    <x:xf numFmtId="0" fontId="6" fillId="2" borderId="1" xfId="0" applyNumberFormat="1" applyFont="1" applyFill="1" applyBorder="1" applyAlignment="1">
      <x:alignment vertical="center"/>
    </x:xf>
    <x:xf numFmtId="0" fontId="3" fillId="4" borderId="0" xfId="0" applyNumberFormat="1" applyFont="1" applyFill="1" applyBorder="1"/>
    <x:xf numFmtId="0" fontId="3" fillId="4" borderId="1"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vertical="center"/>
    </x:xf>
    <x:xf numFmtId="0" fontId="7" fillId="3" borderId="1" xfId="0" applyNumberFormat="1" applyFont="1" applyFill="1" applyBorder="1"/>
    <x:xf numFmtId="0" fontId="7" fillId="3" borderId="1" xfId="0" applyNumberFormat="1" applyFont="1" applyFill="1" applyBorder="1" applyAlignment="1">
      <x:alignment vertical="center"/>
    </x:xf>
    <x:xf numFmtId="0" fontId="3"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vertical="center" wrapText="1"/>
    </x:xf>
    <x:xf numFmtId="0" fontId="3" fillId="5" borderId="1" xfId="0" applyNumberFormat="1" applyFont="1" applyFill="1" applyBorder="1"/>
    <x:xf numFmtId="0" fontId="8" fillId="5" borderId="1" xfId="0" applyNumberFormat="1" applyFont="1" applyFill="1" applyBorder="1"/>
    <x:xf numFmtId="0" fontId="8" fillId="5" borderId="1" xfId="0" applyNumberFormat="1" applyFont="1" applyFill="1" applyBorder="1" applyAlignment="1">
      <x:alignment wrapText="1"/>
    </x:xf>
    <x:xf numFmtId="0" fontId="8" fillId="5" borderId="1"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4" fillId="2" borderId="0" xfId="0" applyNumberFormat="1" applyFont="1" applyFill="1" applyBorder="1"/>
    <x:xf numFmtId="0" fontId="4" fillId="2" borderId="1" xfId="0" applyNumberFormat="1" applyFont="1" applyFill="1" applyBorder="1"/>
    <x:xf numFmtId="0" fontId="9" fillId="3" borderId="0" xfId="0" applyNumberFormat="1" applyFont="1" applyFill="1" applyBorder="1"/>
    <x:xf numFmtId="0" fontId="9" fillId="3" borderId="1"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3" fillId="6" borderId="1" xfId="0" applyNumberFormat="1" applyFont="1" applyFill="1" applyBorder="1"/>
    <x:xf numFmtId="0" fontId="3" fillId="6" borderId="1" xfId="0" applyNumberFormat="1" applyFont="1" applyFill="1" applyBorder="1" applyAlignment="1">
      <x:alignment vertical="center"/>
    </x:xf>
    <x:xf numFmtId="0" fontId="3" fillId="7" borderId="0" xfId="0" applyNumberFormat="1" applyFont="1" applyFill="1" applyBorder="1"/>
    <x:xf numFmtId="0" fontId="3" fillId="7" borderId="0" xfId="0" applyNumberFormat="1" applyFont="1" applyFill="1" applyBorder="1" applyAlignment="1">
      <x:alignment vertical="center"/>
    </x:xf>
    <x:xf numFmtId="0" fontId="3" fillId="7" borderId="1" xfId="0" applyNumberFormat="1" applyFont="1" applyFill="1" applyBorder="1"/>
    <x:xf numFmtId="0" fontId="3" fillId="7" borderId="1" xfId="0" applyNumberFormat="1" applyFont="1" applyFill="1" applyBorder="1" applyAlignment="1">
      <x:alignment vertical="center"/>
    </x:xf>
    <x:xf numFmtId="0" fontId="3" fillId="8" borderId="0" xfId="0" applyNumberFormat="1" applyFont="1" applyFill="1" applyBorder="1"/>
    <x:xf numFmtId="0" fontId="3" fillId="8" borderId="0" xfId="0" applyNumberFormat="1" applyFont="1" applyFill="1" applyBorder="1" applyAlignment="1">
      <x:alignment vertical="center"/>
    </x:xf>
    <x:xf numFmtId="0" fontId="3" fillId="8" borderId="1" xfId="0" applyNumberFormat="1" applyFont="1" applyFill="1" applyBorder="1"/>
    <x:xf numFmtId="0" fontId="3" fillId="8" borderId="1" xfId="0" applyNumberFormat="1" applyFont="1" applyFill="1" applyBorder="1" applyAlignment="1">
      <x:alignment vertical="center"/>
    </x:xf>
    <x:xf numFmtId="0" fontId="3" fillId="9" borderId="0" xfId="0" applyNumberFormat="1" applyFont="1" applyFill="1" applyBorder="1"/>
    <x:xf numFmtId="0" fontId="3" fillId="9" borderId="0" xfId="0" applyNumberFormat="1" applyFont="1" applyFill="1" applyBorder="1" applyAlignment="1">
      <x:alignment vertical="center"/>
    </x:xf>
    <x:xf numFmtId="0" fontId="3" fillId="9" borderId="1" xfId="0" applyNumberFormat="1" applyFont="1" applyFill="1" applyBorder="1"/>
    <x:xf numFmtId="0" fontId="3" fillId="9" borderId="1" xfId="0" applyNumberFormat="1" applyFont="1" applyFill="1" applyBorder="1" applyAlignment="1">
      <x:alignment vertical="center"/>
    </x:xf>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3" fillId="5" borderId="1" xfId="0" applyNumberFormat="1" applyFont="1" applyFill="1" applyBorder="1" applyAlignment="1">
      <x:alignment wrapText="1"/>
    </x:xf>
    <x:xf numFmtId="0" fontId="3" fillId="5" borderId="1" xfId="0" applyNumberFormat="1" applyFont="1" applyFill="1" applyBorder="1" applyAlignment="1">
      <x:alignment vertical="center" wrapText="1"/>
    </x:xf>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1" xfId="0" applyNumberFormat="1" applyFont="1" applyFill="1" applyBorder="1"/>
    <x:xf numFmtId="0" fontId="3" fillId="10" borderId="1" xfId="0" applyNumberFormat="1" applyFont="1" applyFill="1" applyBorder="1" applyAlignment="1">
      <x:alignment wrapText="1"/>
    </x:xf>
  </x:cellXfs>
  <x:cellStyles count="1">
    <x:cellStyle name="Normal" xfId="0"/>
  </x:cellStyles>
  <x:dxfs count="4">
    <x:dxf>
      <x:font>
        <x:b/>
      </x:font>
      <x:fill>
        <x:patternFill patternType="solid">
          <x:bgColor rgb="FFCDECE5"/>
        </x:patternFill>
      </x:fill>
    </x:dxf>
    <x:dxf>
      <x:fill>
        <x:patternFill patternType="solid">
          <x:bgColor rgb="FFE0F2ED"/>
        </x:patternFill>
      </x:fill>
    </x:dxf>
    <x:dxf>
      <x:fill>
        <x:patternFill patternType="solid">
          <x:bgColor rgb="FFE7EFF9"/>
        </x:patternFill>
      </x:fill>
    </x:dxf>
    <x:dxf>
      <x:fill>
        <x:patternFill patternType="solid">
          <x:bgColor rgb="FFFFF0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e0f73c8def4db7" /><Relationship Type="http://schemas.openxmlformats.org/officeDocument/2006/relationships/theme" Target="/xl/theme/theme1.xml" Id="R95ac18f8b02c4511" /><Relationship Type="http://schemas.openxmlformats.org/officeDocument/2006/relationships/sharedStrings" Target="/xl/sharedStrings.xml" Id="R1770f69789614537" /><Relationship Type="http://schemas.openxmlformats.org/officeDocument/2006/relationships/worksheet" Target="/xl/worksheets/sheet1.xml" Id="R5496c55adcef4706" /><Relationship Type="http://schemas.openxmlformats.org/officeDocument/2006/relationships/worksheet" Target="/xl/worksheets/sheet2.xml" Id="R7e961b2a1e824430" /><Relationship Type="http://schemas.openxmlformats.org/officeDocument/2006/relationships/worksheet" Target="/xl/worksheets/sheet3.xml" Id="R65c0a2ae65894966" /><Relationship Type="http://schemas.openxmlformats.org/officeDocument/2006/relationships/worksheet" Target="/xl/worksheets/sheet4.xml" Id="R4994c73c05054695" /><Relationship Type="http://schemas.openxmlformats.org/officeDocument/2006/relationships/worksheet" Target="/xl/worksheets/sheet5.xml" Id="R070a6f71d2c04f2e" /><Relationship Type="http://schemas.openxmlformats.org/officeDocument/2006/relationships/worksheet" Target="/xl/worksheets/sheet6.xml" Id="R12c83699af354253" /></Relationships>
</file>

<file path=xl/tables/table1.xml><?xml version="1.0" encoding="utf-8"?>
<x:table xmlns:x="http://schemas.openxmlformats.org/spreadsheetml/2006/main" id="1" name="CanadianDatasets" displayName="CanadianDatasets" ref="A4:V111" headerRowCount="1" totalsRowCount="0" totalsRowShown="0">
  <x:tableColumns count="22">
    <x:tableColumn id="1" name="City / municipality"/>
    <x:tableColumn id="2" name="Province"/>
    <x:tableColumn id="3" name="Dataset"/>
    <x:tableColumn id="4" name="Topic"/>
    <x:tableColumn id="5" name="Tier"/>
    <x:tableColumn id="6" name="Formats / target formats"/>
    <x:tableColumn id="7" name="Geographic scope"/>
    <x:tableColumn id="8" name="Publisher"/>
    <x:tableColumn id="9" name="Access method"/>
    <x:tableColumn id="10" name="Download URL"/>
    <x:tableColumn id="11" name="API / resolver URL"/>
    <x:tableColumn id="12" name="Dataset page"/>
    <x:tableColumn id="13" name="Licence note"/>
    <x:tableColumn id="14" name="Observation period"/>
    <x:tableColumn id="15" name="Endpoint check"/>
    <x:tableColumn id="16" name="Format basis"/>
    <x:tableColumn id="17" name="Data / access notes"/>
    <x:tableColumn id="18" name="Research source URL"/>
    <x:tableColumn id="19" name="Checked date"/>
    <x:tableColumn id="20" name="Shared dataset ID"/>
    <x:tableColumn id="21" name="Entry ID"/>
    <x:tableColumn id="22" name="Metadata API"/>
  </x:tableColumns>
  <x:tableStyleInfo name="TableStyleMedium2" showFirstColumn="0" showLastColumn="0" showRowStripes="1" showColumnStripes="0"/>
</x:table>
</file>

<file path=xl/tables/table2.xml><?xml version="1.0" encoding="utf-8"?>
<x:table xmlns:x="http://schemas.openxmlformats.org/spreadsheetml/2006/main" id="2" name="CanadianCities" displayName="CanadianCities" ref="A4:N74" headerRowCount="1" totalsRowCount="0" totalsRowShown="0">
  <x:tableColumns count="14">
    <x:tableColumn id="1" name="City / municipality"/>
    <x:tableColumn id="2" name="Province"/>
    <x:tableColumn id="3" name="Dataset selection status"/>
    <x:tableColumn id="4" name="Entries"/>
    <x:tableColumn id="5" name="A / B / C entries"/>
    <x:tableColumn id="6" name="Official / regional source"/>
    <x:tableColumn id="7" name="Platform"/>
    <x:tableColumn id="8" name="Selected topics"/>
    <x:tableColumn id="9" name="Source coverage status"/>
    <x:tableColumn id="10" name="Cautions"/>
    <x:tableColumn id="11" name="National fallback ID"/>
    <x:tableColumn id="12" name="National CSV fallback"/>
    <x:tableColumn id="13" name="Research source URL"/>
    <x:tableColumn id="14" name="Checked date"/>
  </x:tableColumns>
  <x:tableStyleInfo name="TableStyleMedium2" showFirstColumn="0" showLastColumn="0" showRowStripes="1" showColumnStripes="0"/>
</x:table>
</file>

<file path=xl/tables/table3.xml><?xml version="1.0" encoding="utf-8"?>
<x:table xmlns:x="http://schemas.openxmlformats.org/spreadsheetml/2006/main" id="3" name="NationalData" displayName="NationalData" ref="A4:N5" headerRowCount="1" totalsRowCount="0" totalsRowShown="0">
  <x:tableColumns count="14">
    <x:tableColumn id="1" name="Dataset ID"/>
    <x:tableColumn id="2" name="Dataset"/>
    <x:tableColumn id="3" name="Publisher"/>
    <x:tableColumn id="4" name="Geographic coverage"/>
    <x:tableColumn id="5" name="Formats"/>
    <x:tableColumn id="6" name="Dataset page"/>
    <x:tableColumn id="7" name="Download URL"/>
    <x:tableColumn id="8" name="WDS resolver"/>
    <x:tableColumn id="9" name="Observation period"/>
    <x:tableColumn id="10" name="Licence"/>
    <x:tableColumn id="11" name="Verification"/>
    <x:tableColumn id="12" name="Notes"/>
    <x:tableColumn id="13" name="Source URL"/>
    <x:tableColumn id="14" name="Checked date"/>
  </x:tableColumns>
  <x:tableStyleInfo name="TableStyleMedium2" showFirstColumn="0" showLastColumn="0" showRowStripes="1" showColumnStripes="0"/>
</x:table>
</file>

<file path=xl/tables/table4.xml><?xml version="1.0" encoding="utf-8"?>
<x:table xmlns:x="http://schemas.openxmlformats.org/spreadsheetml/2006/main" id="4" name="IngestionGuide" displayName="IngestionGuide" ref="A4:E13" headerRowCount="1" totalsRowCount="0" totalsRowShown="0">
  <x:tableColumns count="5">
    <x:tableColumn id="1" name="Format / platform"/>
    <x:tableColumn id="2" name="Typical coverage"/>
    <x:tableColumn id="3" name="How to consume"/>
    <x:tableColumn id="4" name="Limits / cautions"/>
    <x:tableColumn id="5" name="Official reference"/>
  </x:tableColumns>
  <x:tableStyleInfo name="TableStyleMedium2" showFirstColumn="0" showLastColumn="0" showRowStripes="1" showColumnStripes="0"/>
</x:table>
</file>

<file path=xl/tables/table5.xml><?xml version="1.0" encoding="utf-8"?>
<x:table xmlns:x="http://schemas.openxmlformats.org/spreadsheetml/2006/main" id="5" name="CatalogueCaveats" displayName="CatalogueCaveats" ref="A4:E14" headerRowCount="1" totalsRowCount="0" totalsRowShown="0">
  <x:tableColumns count="5">
    <x:tableColumn id="1" name="Issue"/>
    <x:tableColumn id="2" name="Applies to"/>
    <x:tableColumn id="3" name="What was found"/>
    <x:tableColumn id="4" name="Required check / interpretation"/>
    <x:tableColumn id="5"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1437d1304a479f" /></Relationships>
</file>

<file path=xl/worksheets/_rels/sheet3.xml.rels>&#65279;<?xml version="1.0" encoding="utf-8"?><Relationships xmlns="http://schemas.openxmlformats.org/package/2006/relationships"><Relationship Type="http://schemas.openxmlformats.org/officeDocument/2006/relationships/table" Target="/xl/tables/table2.xml" Id="Rbf6ddb6769ae4200" /></Relationships>
</file>

<file path=xl/worksheets/_rels/sheet4.xml.rels>&#65279;<?xml version="1.0" encoding="utf-8"?><Relationships xmlns="http://schemas.openxmlformats.org/package/2006/relationships"><Relationship Type="http://schemas.openxmlformats.org/officeDocument/2006/relationships/table" Target="/xl/tables/table3.xml" Id="Rbae6592e54f946b2" /></Relationships>
</file>

<file path=xl/worksheets/_rels/sheet5.xml.rels>&#65279;<?xml version="1.0" encoding="utf-8"?><Relationships xmlns="http://schemas.openxmlformats.org/package/2006/relationships"><Relationship Type="http://schemas.openxmlformats.org/officeDocument/2006/relationships/table" Target="/xl/tables/table4.xml" Id="Ra2d61ac39315455c" /></Relationships>
</file>

<file path=xl/worksheets/_rels/sheet6.xml.rels>&#65279;<?xml version="1.0" encoding="utf-8"?><Relationships xmlns="http://schemas.openxmlformats.org/package/2006/relationships"><Relationship Type="http://schemas.openxmlformats.org/officeDocument/2006/relationships/table" Target="/xl/tables/table5.xml" Id="Rf11ab01400124542"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ht="22" customHeight="1">
      <x:c r="A1" s="40" t="str">
        <x:v>CANADIAN CITY OPEN DATA</x:v>
      </x:c>
      <x:c r="B1" s="40"/>
      <x:c r="C1" s="40"/>
      <x:c r="D1" s="40"/>
      <x:c r="E1" s="40"/>
      <x:c r="F1" s="40"/>
      <x:c r="G1" s="40"/>
      <x:c r="H1" s="40"/>
      <x:c r="I1" s="40"/>
      <x:c r="J1" s="40"/>
      <x:c r="K1" s="40"/>
      <x:c r="L1" s="40"/>
    </x:row>
    <x:row r="2" ht="22" customHeight="1">
      <x:c r="A2" s="40"/>
      <x:c r="B2" s="40"/>
      <x:c r="C2" s="40"/>
      <x:c r="D2" s="40"/>
      <x:c r="E2" s="40"/>
      <x:c r="F2" s="40"/>
      <x:c r="G2" s="40"/>
      <x:c r="H2" s="40"/>
      <x:c r="I2" s="40"/>
      <x:c r="J2" s="40"/>
      <x:c r="K2" s="40"/>
      <x:c r="L2" s="40"/>
    </x:row>
    <x:row r="3" ht="26" customHeight="1">
      <x:c r="A3" s="11" t="str">
        <x:v>Curated dataset and source catalogue  |  Research date: 2026-10-07</x:v>
      </x:c>
      <x:c r="B3" s="11"/>
      <x:c r="C3" s="11"/>
      <x:c r="D3" s="11"/>
      <x:c r="E3" s="11"/>
      <x:c r="F3" s="11"/>
      <x:c r="G3" s="11"/>
      <x:c r="H3" s="11"/>
      <x:c r="I3" s="11"/>
      <x:c r="J3" s="11"/>
      <x:c r="K3" s="11"/>
      <x:c r="L3" s="11"/>
    </x:row>
    <x:row r="4" ht="22" customHeight="1">
      <x:c r="A4" s="26"/>
      <x:c r="B4" s="26"/>
      <x:c r="C4" s="26"/>
      <x:c r="D4" s="26"/>
      <x:c r="E4" s="26"/>
      <x:c r="F4" s="26"/>
      <x:c r="G4" s="26"/>
      <x:c r="H4" s="26"/>
      <x:c r="I4" s="26"/>
      <x:c r="J4" s="26"/>
      <x:c r="K4" s="26"/>
      <x:c r="L4" s="26"/>
    </x:row>
    <x:row r="5" ht="25" customHeight="1">
      <x:c r="A5" s="19" t="str">
        <x:v>MUNICIPALITIES</x:v>
      </x:c>
      <x:c r="B5" s="19"/>
      <x:c r="C5" s="19"/>
      <x:c r="D5" s="26"/>
      <x:c r="E5" s="19" t="str">
        <x:v>CITY / DATASET ENTRIES</x:v>
      </x:c>
      <x:c r="F5" s="19"/>
      <x:c r="G5" s="19"/>
      <x:c r="H5" s="26"/>
      <x:c r="I5" s="19" t="str">
        <x:v>DISTINCT DATASET PAGES</x:v>
      </x:c>
      <x:c r="J5" s="19"/>
      <x:c r="K5" s="19"/>
      <x:c r="L5" s="19"/>
    </x:row>
    <x:row r="6" ht="22" customHeight="1">
      <x:c r="A6" s="47" t="n">
        <x:f>COUNTA('City Sources'!A5:A74)</x:f>
        <x:v>70</x:v>
      </x:c>
      <x:c r="B6" s="47"/>
      <x:c r="C6" s="47"/>
      <x:c r="D6" s="26"/>
      <x:c r="E6" s="47" t="n">
        <x:f>COUNTA(Datasets!A5:A111)</x:f>
        <x:v>107</x:v>
      </x:c>
      <x:c r="F6" s="47"/>
      <x:c r="G6" s="47"/>
      <x:c r="H6" s="26"/>
      <x:c r="I6" s="47" t="n">
        <x:f>SUM(Datasets!W5:W111)</x:f>
        <x:v>103</x:v>
      </x:c>
      <x:c r="J6" s="47"/>
      <x:c r="K6" s="47"/>
      <x:c r="L6" s="47"/>
    </x:row>
    <x:row r="7" ht="22" customHeight="1">
      <x:c r="A7" s="47"/>
      <x:c r="B7" s="47"/>
      <x:c r="C7" s="47"/>
      <x:c r="D7" s="26"/>
      <x:c r="E7" s="47"/>
      <x:c r="F7" s="47"/>
      <x:c r="G7" s="47"/>
      <x:c r="H7" s="26"/>
      <x:c r="I7" s="47"/>
      <x:c r="J7" s="47"/>
      <x:c r="K7" s="47"/>
      <x:c r="L7" s="47"/>
    </x:row>
    <x:row r="8" ht="22" customHeight="1">
      <x:c r="A8" s="26"/>
      <x:c r="B8" s="26"/>
      <x:c r="C8" s="26"/>
      <x:c r="D8" s="26"/>
      <x:c r="E8" s="26"/>
      <x:c r="F8" s="26"/>
      <x:c r="G8" s="26"/>
      <x:c r="H8" s="26"/>
      <x:c r="I8" s="26"/>
      <x:c r="J8" s="26"/>
      <x:c r="K8" s="26"/>
      <x:c r="L8" s="26"/>
    </x:row>
    <x:row r="9" ht="22" customHeight="1">
      <x:c r="A9" s="53" t="str">
        <x:f>COUNTIF('City Sources'!D5:D74,"&gt;0")&amp;" municipalities have selected local, regional or territorial dataset entries. "&amp;COUNTIF('City Sources'!D5:D74,"=0")&amp;" have a source index and national CSV fallback only."</x:f>
        <x:v>56 municipalities have selected local, regional or territorial dataset entries. 14 have a source index and national CSV fallback only.</x:v>
      </x:c>
      <x:c r="B9" s="53"/>
      <x:c r="C9" s="53"/>
      <x:c r="D9" s="53"/>
      <x:c r="E9" s="53"/>
      <x:c r="F9" s="53"/>
      <x:c r="G9" s="53"/>
      <x:c r="H9" s="53"/>
      <x:c r="I9" s="53"/>
      <x:c r="J9" s="53"/>
      <x:c r="K9" s="53"/>
      <x:c r="L9" s="53"/>
    </x:row>
    <x:row r="10" ht="22" customHeight="1">
      <x:c r="A10" s="53"/>
      <x:c r="B10" s="53"/>
      <x:c r="C10" s="53"/>
      <x:c r="D10" s="53"/>
      <x:c r="E10" s="53"/>
      <x:c r="F10" s="53"/>
      <x:c r="G10" s="53"/>
      <x:c r="H10" s="53"/>
      <x:c r="I10" s="53"/>
      <x:c r="J10" s="53"/>
      <x:c r="K10" s="53"/>
      <x:c r="L10" s="53"/>
    </x:row>
    <x:row r="11" ht="22" customHeight="1">
      <x:c r="A11" s="26"/>
      <x:c r="B11" s="26"/>
      <x:c r="C11" s="26"/>
      <x:c r="D11" s="26"/>
      <x:c r="E11" s="26"/>
      <x:c r="F11" s="26"/>
      <x:c r="G11" s="26"/>
      <x:c r="H11" s="26"/>
      <x:c r="I11" s="26"/>
      <x:c r="J11" s="26"/>
      <x:c r="K11" s="26"/>
      <x:c r="L11" s="26"/>
    </x:row>
    <x:row r="12" ht="22" customHeight="1">
      <x:c r="A12" s="58" t="str">
        <x:v>Scope: major municipalities, capitals, metropolitan municipalities and selected regional centres across all 13 provinces and territories. This is a curated catalogue, not an exhaustive census of every city or every dataset.</x:v>
      </x:c>
      <x:c r="B12" s="58"/>
      <x:c r="C12" s="58"/>
      <x:c r="D12" s="58"/>
      <x:c r="E12" s="58"/>
      <x:c r="F12" s="58"/>
      <x:c r="G12" s="58"/>
      <x:c r="H12" s="58"/>
      <x:c r="I12" s="58"/>
      <x:c r="J12" s="58"/>
      <x:c r="K12" s="58"/>
      <x:c r="L12" s="58"/>
    </x:row>
    <x:row r="13" ht="22" customHeight="1">
      <x:c r="A13" s="58"/>
      <x:c r="B13" s="58"/>
      <x:c r="C13" s="58"/>
      <x:c r="D13" s="58"/>
      <x:c r="E13" s="58"/>
      <x:c r="F13" s="58"/>
      <x:c r="G13" s="58"/>
      <x:c r="H13" s="58"/>
      <x:c r="I13" s="58"/>
      <x:c r="J13" s="58"/>
      <x:c r="K13" s="58"/>
      <x:c r="L13" s="58"/>
    </x:row>
    <x:row r="14" ht="22" customHeight="1">
      <x:c r="A14" s="26"/>
      <x:c r="B14" s="26"/>
      <x:c r="C14" s="26"/>
      <x:c r="D14" s="26"/>
      <x:c r="E14" s="26"/>
      <x:c r="F14" s="26"/>
      <x:c r="G14" s="26"/>
      <x:c r="H14" s="26"/>
      <x:c r="I14" s="26"/>
      <x:c r="J14" s="26"/>
      <x:c r="K14" s="26"/>
      <x:c r="L14" s="26"/>
    </x:row>
    <x:row r="15" ht="22" customHeight="1">
      <x:c r="A15" s="60" t="str">
        <x:v>VERIFICATION LEVELS</x:v>
      </x:c>
      <x:c r="B15" s="60"/>
      <x:c r="C15" s="60"/>
      <x:c r="D15" s="60"/>
      <x:c r="E15" s="60"/>
      <x:c r="F15" s="60"/>
      <x:c r="G15" s="26"/>
      <x:c r="H15" s="60" t="str">
        <x:v>GEOGRAPHIC COVERAGE</x:v>
      </x:c>
      <x:c r="I15" s="60"/>
      <x:c r="J15" s="60"/>
      <x:c r="K15" s="60"/>
      <x:c r="L15" s="60"/>
    </x:row>
    <x:row r="16" ht="22" customHeight="1">
      <x:c r="A16" s="62" t="str">
        <x:v>Tier</x:v>
      </x:c>
      <x:c r="B16" s="62" t="str">
        <x:v>Entries</x:v>
      </x:c>
      <x:c r="C16" s="62" t="str">
        <x:v>Meaning</x:v>
      </x:c>
      <x:c r="D16" s="62"/>
      <x:c r="E16" s="62"/>
      <x:c r="F16" s="62"/>
      <x:c r="G16" s="26"/>
      <x:c r="H16" s="62" t="str">
        <x:v>Province / territory</x:v>
      </x:c>
      <x:c r="I16" s="62"/>
      <x:c r="J16" s="62" t="str">
        <x:v>Cities</x:v>
      </x:c>
      <x:c r="K16" s="62" t="str">
        <x:v>Entries</x:v>
      </x:c>
      <x:c r="L16" s="62"/>
    </x:row>
    <x:row r="17" ht="24" customHeight="1">
      <x:c r="A17" s="65" t="str">
        <x:v>A</x:v>
      </x:c>
      <x:c r="B17" s="65" t="n">
        <x:f>COUNTIF(Datasets!$E$5:$E$111,A17)</x:f>
        <x:v>2</x:v>
      </x:c>
      <x:c r="C17" s="65" t="str">
        <x:v>Sample JSON returned data</x:v>
      </x:c>
      <x:c r="D17" s="65"/>
      <x:c r="E17" s="65"/>
      <x:c r="F17" s="65"/>
      <x:c r="G17" s="26"/>
      <x:c r="H17" s="85" t="str">
        <x:v>British Columbia</x:v>
      </x:c>
      <x:c r="I17" s="85"/>
      <x:c r="J17" s="85" t="n">
        <x:f>COUNTIF('City Sources'!$B$5:$B$74,"BC")</x:f>
        <x:v>16</x:v>
      </x:c>
      <x:c r="K17" s="85" t="n">
        <x:f>COUNTIF(Datasets!$B$5:$B$111,"BC")</x:f>
        <x:v>26</x:v>
      </x:c>
      <x:c r="L17" s="85"/>
    </x:row>
    <x:row r="18" ht="24" customHeight="1">
      <x:c r="A18" s="69" t="str">
        <x:v>B</x:v>
      </x:c>
      <x:c r="B18" s="69" t="n">
        <x:f>COUNTIF(Datasets!$E$5:$E$111,A18)</x:f>
        <x:v>16</x:v>
      </x:c>
      <x:c r="C18" s="69" t="str">
        <x:v>File / feed format documented</x:v>
      </x:c>
      <x:c r="D18" s="69"/>
      <x:c r="E18" s="69"/>
      <x:c r="F18" s="69"/>
      <x:c r="G18" s="26"/>
      <x:c r="H18" s="80" t="str">
        <x:v>Alberta</x:v>
      </x:c>
      <x:c r="I18" s="80"/>
      <x:c r="J18" s="80" t="n">
        <x:f>COUNTIF('City Sources'!$B$5:$B$74,"AB")</x:f>
        <x:v>5</x:v>
      </x:c>
      <x:c r="K18" s="80" t="n">
        <x:f>COUNTIF(Datasets!$B$5:$B$111,"AB")</x:f>
        <x:v>12</x:v>
      </x:c>
      <x:c r="L18" s="80"/>
    </x:row>
    <x:row r="19" ht="24" customHeight="1">
      <x:c r="A19" s="73" t="str">
        <x:v>C</x:v>
      </x:c>
      <x:c r="B19" s="73" t="n">
        <x:f>COUNTIF(Datasets!$E$5:$E$111,A19)</x:f>
        <x:v>20</x:v>
      </x:c>
      <x:c r="C19" s="73" t="str">
        <x:v>Dataset found; endpoint derived</x:v>
      </x:c>
      <x:c r="D19" s="73"/>
      <x:c r="E19" s="73"/>
      <x:c r="F19" s="73"/>
      <x:c r="G19" s="26"/>
      <x:c r="H19" s="85" t="str">
        <x:v>Saskatchewan</x:v>
      </x:c>
      <x:c r="I19" s="85"/>
      <x:c r="J19" s="85" t="n">
        <x:f>COUNTIF('City Sources'!$B$5:$B$74,"SK")</x:f>
        <x:v>2</x:v>
      </x:c>
      <x:c r="K19" s="85" t="n">
        <x:f>COUNTIF(Datasets!$B$5:$B$111,"SK")</x:f>
        <x:v>3</x:v>
      </x:c>
      <x:c r="L19" s="85"/>
    </x:row>
    <x:row r="20" ht="24" customHeight="1">
      <x:c r="A20" s="77" t="str">
        <x:v>D</x:v>
      </x:c>
      <x:c r="B20" s="77" t="n">
        <x:f>COUNTIF(Datasets!$E$5:$E$111,A20)</x:f>
        <x:v>69</x:v>
      </x:c>
      <x:c r="C20" s="77" t="str">
        <x:v>Current export needs verification</x:v>
      </x:c>
      <x:c r="D20" s="77"/>
      <x:c r="E20" s="77"/>
      <x:c r="F20" s="77"/>
      <x:c r="G20" s="26"/>
      <x:c r="H20" s="80" t="str">
        <x:v>Manitoba</x:v>
      </x:c>
      <x:c r="I20" s="80"/>
      <x:c r="J20" s="80" t="n">
        <x:f>COUNTIF('City Sources'!$B$5:$B$74,"MB")</x:f>
        <x:v>1</x:v>
      </x:c>
      <x:c r="K20" s="80" t="n">
        <x:f>COUNTIF(Datasets!$B$5:$B$111,"MB")</x:f>
        <x:v>4</x:v>
      </x:c>
      <x:c r="L20" s="80"/>
    </x:row>
    <x:row r="21" ht="24" customHeight="1">
      <x:c r="A21" s="26"/>
      <x:c r="B21" s="26"/>
      <x:c r="C21" s="26"/>
      <x:c r="D21" s="26"/>
      <x:c r="E21" s="26"/>
      <x:c r="F21" s="26"/>
      <x:c r="G21" s="26"/>
      <x:c r="H21" s="85" t="str">
        <x:v>Ontario</x:v>
      </x:c>
      <x:c r="I21" s="85"/>
      <x:c r="J21" s="85" t="n">
        <x:f>COUNTIF('City Sources'!$B$5:$B$74,"ON")</x:f>
        <x:v>27</x:v>
      </x:c>
      <x:c r="K21" s="85" t="n">
        <x:f>COUNTIF(Datasets!$B$5:$B$111,"ON")</x:f>
        <x:v>44</x:v>
      </x:c>
      <x:c r="L21" s="85"/>
    </x:row>
    <x:row r="22" ht="24" customHeight="1">
      <x:c r="A22" s="60" t="str">
        <x:v>START HERE</x:v>
      </x:c>
      <x:c r="B22" s="60"/>
      <x:c r="C22" s="60"/>
      <x:c r="D22" s="60"/>
      <x:c r="E22" s="60"/>
      <x:c r="F22" s="60"/>
      <x:c r="G22" s="26"/>
      <x:c r="H22" s="80" t="str">
        <x:v>Québec</x:v>
      </x:c>
      <x:c r="I22" s="80"/>
      <x:c r="J22" s="80" t="n">
        <x:f>COUNTIF('City Sources'!$B$5:$B$74,"QC")</x:f>
        <x:v>10</x:v>
      </x:c>
      <x:c r="K22" s="80" t="n">
        <x:f>COUNTIF(Datasets!$B$5:$B$111,"QC")</x:f>
        <x:v>8</x:v>
      </x:c>
      <x:c r="L22" s="80"/>
    </x:row>
    <x:row r="23" ht="24" customHeight="1">
      <x:c r="A23" s="81" t="str">
        <x:v>Use documented_formats_and_endpoints.csv for tiers A, B and C. The full Datasets sheet retains tier D leads, clearly marked. No complete raw export was downloaded or schema-profiled.</x:v>
      </x:c>
      <x:c r="B23" s="81"/>
      <x:c r="C23" s="81"/>
      <x:c r="D23" s="81"/>
      <x:c r="E23" s="81"/>
      <x:c r="F23" s="81"/>
      <x:c r="G23" s="26"/>
      <x:c r="H23" s="85" t="str">
        <x:v>New Brunswick</x:v>
      </x:c>
      <x:c r="I23" s="85"/>
      <x:c r="J23" s="85" t="n">
        <x:f>COUNTIF('City Sources'!$B$5:$B$74,"NB")</x:f>
        <x:v>3</x:v>
      </x:c>
      <x:c r="K23" s="85" t="n">
        <x:f>COUNTIF(Datasets!$B$5:$B$111,"NB")</x:f>
        <x:v>6</x:v>
      </x:c>
      <x:c r="L23" s="85"/>
    </x:row>
    <x:row r="24" ht="24" customHeight="1">
      <x:c r="A24" s="81"/>
      <x:c r="B24" s="81"/>
      <x:c r="C24" s="81"/>
      <x:c r="D24" s="81"/>
      <x:c r="E24" s="81"/>
      <x:c r="F24" s="81"/>
      <x:c r="G24" s="26"/>
      <x:c r="H24" s="80" t="str">
        <x:v>Nova Scotia</x:v>
      </x:c>
      <x:c r="I24" s="80"/>
      <x:c r="J24" s="80" t="n">
        <x:f>COUNTIF('City Sources'!$B$5:$B$74,"NS")</x:f>
        <x:v>1</x:v>
      </x:c>
      <x:c r="K24" s="80" t="n">
        <x:f>COUNTIF(Datasets!$B$5:$B$111,"NS")</x:f>
        <x:v>2</x:v>
      </x:c>
      <x:c r="L24" s="80"/>
    </x:row>
    <x:row r="25" ht="24" customHeight="1">
      <x:c r="A25" s="81"/>
      <x:c r="B25" s="81"/>
      <x:c r="C25" s="81"/>
      <x:c r="D25" s="81"/>
      <x:c r="E25" s="81"/>
      <x:c r="F25" s="81"/>
      <x:c r="G25" s="26"/>
      <x:c r="H25" s="85" t="str">
        <x:v>Prince Edward Island</x:v>
      </x:c>
      <x:c r="I25" s="85"/>
      <x:c r="J25" s="85" t="n">
        <x:f>COUNTIF('City Sources'!$B$5:$B$74,"PE")</x:f>
        <x:v>1</x:v>
      </x:c>
      <x:c r="K25" s="85" t="n">
        <x:f>COUNTIF(Datasets!$B$5:$B$111,"PE")</x:f>
        <x:v>0</x:v>
      </x:c>
      <x:c r="L25" s="85"/>
    </x:row>
    <x:row r="26" ht="24" customHeight="1">
      <x:c r="A26" s="81"/>
      <x:c r="B26" s="81"/>
      <x:c r="C26" s="81"/>
      <x:c r="D26" s="81"/>
      <x:c r="E26" s="81"/>
      <x:c r="F26" s="81"/>
      <x:c r="G26" s="26"/>
      <x:c r="H26" s="80" t="str">
        <x:v>Newfoundland &amp; Lab.</x:v>
      </x:c>
      <x:c r="I26" s="80"/>
      <x:c r="J26" s="80" t="n">
        <x:f>COUNTIF('City Sources'!$B$5:$B$74,"NL")</x:f>
        <x:v>1</x:v>
      </x:c>
      <x:c r="K26" s="80" t="n">
        <x:f>COUNTIF(Datasets!$B$5:$B$111,"NL")</x:f>
        <x:v>0</x:v>
      </x:c>
      <x:c r="L26" s="80"/>
    </x:row>
    <x:row r="27" ht="24" customHeight="1">
      <x:c r="A27" s="26"/>
      <x:c r="B27" s="26"/>
      <x:c r="C27" s="26"/>
      <x:c r="D27" s="26"/>
      <x:c r="E27" s="26"/>
      <x:c r="F27" s="26"/>
      <x:c r="G27" s="26"/>
      <x:c r="H27" s="85" t="str">
        <x:v>Yukon</x:v>
      </x:c>
      <x:c r="I27" s="85"/>
      <x:c r="J27" s="85" t="n">
        <x:f>COUNTIF('City Sources'!$B$5:$B$74,"YT")</x:f>
        <x:v>1</x:v>
      </x:c>
      <x:c r="K27" s="85" t="n">
        <x:f>COUNTIF(Datasets!$B$5:$B$111,"YT")</x:f>
        <x:v>1</x:v>
      </x:c>
      <x:c r="L27" s="85"/>
    </x:row>
    <x:row r="28" ht="24" customHeight="1">
      <x:c r="A28" s="81" t="str">
        <x:v>One dataset page can appear under multiple cities. Use the shared dataset ID to deduplicate. Regional sources may need filtering and do not guarantee complete city coverage. The national baseline is one additional shared CSV resource.</x:v>
      </x:c>
      <x:c r="B28" s="81"/>
      <x:c r="C28" s="81"/>
      <x:c r="D28" s="81"/>
      <x:c r="E28" s="81"/>
      <x:c r="F28" s="81"/>
      <x:c r="G28" s="26"/>
      <x:c r="H28" s="80" t="str">
        <x:v>Northwest Territories</x:v>
      </x:c>
      <x:c r="I28" s="80"/>
      <x:c r="J28" s="80" t="n">
        <x:f>COUNTIF('City Sources'!$B$5:$B$74,"NT")</x:f>
        <x:v>1</x:v>
      </x:c>
      <x:c r="K28" s="80" t="n">
        <x:f>COUNTIF(Datasets!$B$5:$B$111,"NT")</x:f>
        <x:v>1</x:v>
      </x:c>
      <x:c r="L28" s="80"/>
    </x:row>
    <x:row r="29" ht="24" customHeight="1">
      <x:c r="A29" s="81"/>
      <x:c r="B29" s="81"/>
      <x:c r="C29" s="81"/>
      <x:c r="D29" s="81"/>
      <x:c r="E29" s="81"/>
      <x:c r="F29" s="81"/>
      <x:c r="G29" s="26"/>
      <x:c r="H29" s="85" t="str">
        <x:v>Nunavut</x:v>
      </x:c>
      <x:c r="I29" s="85"/>
      <x:c r="J29" s="85" t="n">
        <x:f>COUNTIF('City Sources'!$B$5:$B$74,"NU")</x:f>
        <x:v>1</x:v>
      </x:c>
      <x:c r="K29" s="85" t="n">
        <x:f>COUNTIF(Datasets!$B$5:$B$111,"NU")</x:f>
        <x:v>0</x:v>
      </x:c>
      <x:c r="L29" s="85"/>
    </x:row>
    <x:row r="30" ht="22" customHeight="1">
      <x:c r="A30" s="81"/>
      <x:c r="B30" s="81"/>
      <x:c r="C30" s="81"/>
      <x:c r="D30" s="81"/>
      <x:c r="E30" s="81"/>
      <x:c r="F30" s="81"/>
      <x:c r="G30" s="26"/>
      <x:c r="H30" s="26"/>
      <x:c r="I30" s="26"/>
      <x:c r="J30" s="26"/>
      <x:c r="K30" s="26"/>
      <x:c r="L30" s="26"/>
    </x:row>
    <x:row r="31" ht="22" customHeight="1">
      <x:c r="A31" s="81"/>
      <x:c r="B31" s="81"/>
      <x:c r="C31" s="81"/>
      <x:c r="D31" s="81"/>
      <x:c r="E31" s="81"/>
      <x:c r="F31" s="81"/>
      <x:c r="G31" s="26"/>
      <x:c r="H31" s="26"/>
      <x:c r="I31" s="26"/>
      <x:c r="J31" s="26"/>
      <x:c r="K31" s="26"/>
      <x:c r="L31" s="26"/>
    </x:row>
    <x:row r="32" ht="22" customHeight="1">
      <x:c r="A32" s="26"/>
      <x:c r="B32" s="26"/>
      <x:c r="C32" s="26"/>
      <x:c r="D32" s="26"/>
      <x:c r="E32" s="26"/>
      <x:c r="F32" s="26"/>
      <x:c r="G32" s="26"/>
      <x:c r="H32" s="26"/>
      <x:c r="I32" s="26"/>
      <x:c r="J32" s="26"/>
      <x:c r="K32" s="26"/>
      <x:c r="L32" s="26"/>
    </x:row>
    <x:row r="33" ht="22" customHeight="1">
      <x:c r="A33" s="26"/>
      <x:c r="B33" s="26"/>
      <x:c r="C33" s="26"/>
      <x:c r="D33" s="26"/>
      <x:c r="E33" s="26"/>
      <x:c r="F33" s="26"/>
      <x:c r="G33" s="26"/>
      <x:c r="H33" s="26"/>
      <x:c r="I33" s="26"/>
      <x:c r="J33" s="26"/>
      <x:c r="K33" s="26"/>
      <x:c r="L33" s="26"/>
    </x:row>
    <x:row r="34" ht="22" customHeight="1">
      <x:c r="A34" s="13" t="str">
        <x:v>Source URLs, licence notes and observation periods are retained in the data tables. Review Caveats before reuse, particularly Whitehorse municipal terms, Lévis transit terms and migrated portals. Research date does not mean the observations are current.</x:v>
      </x:c>
      <x:c r="B34" s="13"/>
      <x:c r="C34" s="13"/>
      <x:c r="D34" s="13"/>
      <x:c r="E34" s="13"/>
      <x:c r="F34" s="13"/>
      <x:c r="G34" s="13"/>
      <x:c r="H34" s="13"/>
      <x:c r="I34" s="13"/>
      <x:c r="J34" s="13"/>
      <x:c r="K34" s="13"/>
      <x:c r="L34" s="13"/>
    </x:row>
    <x:row r="35" ht="22" customHeight="1">
      <x:c r="A35" s="13"/>
      <x:c r="B35" s="13"/>
      <x:c r="C35" s="13"/>
      <x:c r="D35" s="13"/>
      <x:c r="E35" s="13"/>
      <x:c r="F35" s="13"/>
      <x:c r="G35" s="13"/>
      <x:c r="H35" s="13"/>
      <x:c r="I35" s="13"/>
      <x:c r="J35" s="13"/>
      <x:c r="K35" s="13"/>
      <x:c r="L35" s="13"/>
    </x:row>
    <x:row r="36" ht="22" customHeight="1">
      <x:c r="A36" s="13"/>
      <x:c r="B36" s="13"/>
      <x:c r="C36" s="13"/>
      <x:c r="D36" s="13"/>
      <x:c r="E36" s="13"/>
      <x:c r="F36" s="13"/>
      <x:c r="G36" s="13"/>
      <x:c r="H36" s="13"/>
      <x:c r="I36" s="13"/>
      <x:c r="J36" s="13"/>
      <x:c r="K36" s="13"/>
      <x:c r="L36" s="13"/>
    </x:row>
    <x:row r="37" ht="22" customHeight="1">
      <x:c r="A37" s="26"/>
      <x:c r="B37" s="26"/>
      <x:c r="C37" s="26"/>
      <x:c r="D37" s="26"/>
      <x:c r="E37" s="26"/>
      <x:c r="F37" s="26"/>
      <x:c r="G37" s="26"/>
      <x:c r="H37" s="26"/>
      <x:c r="I37" s="26"/>
      <x:c r="J37" s="26"/>
      <x:c r="K37" s="26"/>
      <x:c r="L37" s="26"/>
    </x:row>
    <x:row r="38" ht="22" customHeight="1">
      <x:c r="A38" s="26"/>
      <x:c r="B38" s="26"/>
      <x:c r="C38" s="26"/>
      <x:c r="D38" s="26"/>
      <x:c r="E38" s="26"/>
      <x:c r="F38" s="26"/>
      <x:c r="G38" s="26"/>
      <x:c r="H38" s="26"/>
      <x:c r="I38" s="26"/>
      <x:c r="J38" s="26"/>
      <x:c r="K38" s="26"/>
      <x:c r="L38" s="26"/>
    </x:row>
  </x:sheetData>
  <x:mergeCells>
    <x:mergeCell ref="A1:L2"/>
    <x:mergeCell ref="A3:L3"/>
    <x:mergeCell ref="A5:C5"/>
    <x:mergeCell ref="A6:C7"/>
    <x:mergeCell ref="E5:G5"/>
    <x:mergeCell ref="E6:G7"/>
    <x:mergeCell ref="I5:L5"/>
    <x:mergeCell ref="I6:L7"/>
    <x:mergeCell ref="A9:L10"/>
    <x:mergeCell ref="A12:L13"/>
    <x:mergeCell ref="A15:F15"/>
    <x:mergeCell ref="C16:F16"/>
    <x:mergeCell ref="C17:F17"/>
    <x:mergeCell ref="C18:F18"/>
    <x:mergeCell ref="C19:F19"/>
    <x:mergeCell ref="C20:F20"/>
    <x:mergeCell ref="A22:F22"/>
    <x:mergeCell ref="A23:F26"/>
    <x:mergeCell ref="A28:F31"/>
    <x:mergeCell ref="H15:L15"/>
    <x:mergeCell ref="H16:I16"/>
    <x:mergeCell ref="K16:L16"/>
    <x:mergeCell ref="H17:I17"/>
    <x:mergeCell ref="K17:L17"/>
    <x:mergeCell ref="H18:I18"/>
    <x:mergeCell ref="K18:L18"/>
    <x:mergeCell ref="H19:I19"/>
    <x:mergeCell ref="K19:L19"/>
    <x:mergeCell ref="H20:I20"/>
    <x:mergeCell ref="K20:L20"/>
    <x:mergeCell ref="H21:I21"/>
    <x:mergeCell ref="K21:L21"/>
    <x:mergeCell ref="H22:I22"/>
    <x:mergeCell ref="K22:L22"/>
    <x:mergeCell ref="H23:I23"/>
    <x:mergeCell ref="K23:L23"/>
    <x:mergeCell ref="H24:I24"/>
    <x:mergeCell ref="K24:L24"/>
    <x:mergeCell ref="H25:I25"/>
    <x:mergeCell ref="K25:L25"/>
    <x:mergeCell ref="H26:I26"/>
    <x:mergeCell ref="K26:L26"/>
    <x:mergeCell ref="H27:I27"/>
    <x:mergeCell ref="K27:L27"/>
    <x:mergeCell ref="H28:I28"/>
    <x:mergeCell ref="K28:L28"/>
    <x:mergeCell ref="H29:I29"/>
    <x:mergeCell ref="K29:L29"/>
    <x:mergeCell ref="A34:L36"/>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0" hidden="0" customWidth="1"/>
    <x:col min="3" max="3" width="34" hidden="0" customWidth="1"/>
    <x:col min="4" max="4" width="16" hidden="0" customWidth="1"/>
    <x:col min="5" max="5" width="8" hidden="0" customWidth="1"/>
    <x:col min="6" max="6" width="31" hidden="0" customWidth="1"/>
    <x:col min="7" max="7" width="28" hidden="0" customWidth="1"/>
    <x:col min="8" max="8" width="28" hidden="0" customWidth="1"/>
    <x:col min="9" max="9" width="30" hidden="0" customWidth="1"/>
    <x:col min="10" max="10" width="40" hidden="0" customWidth="1"/>
    <x:col min="11" max="11" width="40" hidden="0" customWidth="1"/>
    <x:col min="12" max="12" width="40" hidden="0" customWidth="1"/>
    <x:col min="13" max="13" width="31" hidden="0" customWidth="1"/>
    <x:col min="14" max="14" width="28" hidden="0" customWidth="1"/>
    <x:col min="15" max="15" width="30" hidden="0" customWidth="1"/>
    <x:col min="16" max="16" width="36" hidden="0" customWidth="1"/>
    <x:col min="17" max="17" width="40" hidden="0" customWidth="1"/>
    <x:col min="18" max="18" width="40" hidden="0" customWidth="1"/>
    <x:col min="19" max="19" width="14" hidden="0" customWidth="1"/>
    <x:col min="20" max="20" width="21" hidden="0" customWidth="1"/>
    <x:col min="21" max="21" width="14" hidden="0" customWidth="1"/>
    <x:col min="22" max="22" width="40" hidden="0" customWidth="1"/>
    <x:col min="23" max="23" width="16" hidden="0" customWidth="1"/>
  </x:cols>
  <x:sheetData>
    <x:row r="1" ht="34" customHeight="1">
      <x:c r="A1" s="6" t="str">
        <x:v>CANADIAN CITY DATASETS</x:v>
      </x:c>
      <x:c r="B1" s="6"/>
      <x:c r="C1" s="6"/>
      <x:c r="D1" s="6"/>
      <x:c r="E1" s="6"/>
      <x:c r="F1" s="6"/>
      <x:c r="G1" s="6"/>
      <x:c r="H1" s="6"/>
      <x:c r="I1" s="6"/>
      <x:c r="J1" s="6"/>
      <x:c r="K1" s="6"/>
      <x:c r="L1" s="6"/>
      <x:c r="M1" s="6"/>
      <x:c r="N1" s="6"/>
      <x:c r="O1" s="6"/>
      <x:c r="P1" s="6"/>
      <x:c r="Q1" s="6"/>
      <x:c r="R1" s="6"/>
      <x:c r="S1" s="6"/>
      <x:c r="T1" s="6"/>
      <x:c r="U1" s="6"/>
      <x:c r="V1" s="6"/>
    </x:row>
    <x:row r="2" ht="32" customHeight="1">
      <x:c r="A2" s="13" t="str">
        <x:v>A = sample data inspected  |  B = format documented  |  C = derived endpoint  |  D = export needs verification</x:v>
      </x:c>
      <x:c r="B2" s="13"/>
      <x:c r="C2" s="13"/>
      <x:c r="D2" s="13"/>
      <x:c r="E2" s="13"/>
      <x:c r="F2" s="13"/>
      <x:c r="G2" s="13"/>
      <x:c r="H2" s="13"/>
      <x:c r="I2" s="13"/>
      <x:c r="J2" s="13"/>
      <x:c r="K2" s="13"/>
      <x:c r="L2" s="13"/>
      <x:c r="M2" s="13"/>
      <x:c r="N2" s="13"/>
      <x:c r="O2" s="13"/>
      <x:c r="P2" s="13"/>
      <x:c r="Q2" s="13"/>
      <x:c r="R2" s="13"/>
      <x:c r="S2" s="13"/>
      <x:c r="T2" s="13"/>
      <x:c r="U2" s="13"/>
      <x:c r="V2" s="13"/>
    </x:row>
    <x:row r="3">
      <x:c r="A3" s="2"/>
      <x:c r="B3" s="2"/>
      <x:c r="C3" s="2"/>
      <x:c r="D3" s="2"/>
      <x:c r="E3" s="2"/>
      <x:c r="F3" s="2"/>
      <x:c r="G3" s="2"/>
      <x:c r="H3" s="2"/>
      <x:c r="I3" s="2"/>
      <x:c r="J3" s="2"/>
      <x:c r="K3" s="2"/>
      <x:c r="L3" s="2"/>
      <x:c r="M3" s="2"/>
      <x:c r="N3" s="2"/>
      <x:c r="O3" s="2"/>
      <x:c r="P3" s="2"/>
      <x:c r="Q3" s="2"/>
      <x:c r="R3" s="2"/>
      <x:c r="S3" s="2"/>
      <x:c r="T3" s="2"/>
      <x:c r="U3" s="2"/>
      <x:c r="V3" s="2"/>
    </x:row>
    <x:row r="4" ht="32" customHeight="1">
      <x:c r="A4" s="21" t="str">
        <x:v>City / municipality</x:v>
      </x:c>
      <x:c r="B4" s="21" t="str">
        <x:v>Province</x:v>
      </x:c>
      <x:c r="C4" s="21" t="str">
        <x:v>Dataset</x:v>
      </x:c>
      <x:c r="D4" s="21" t="str">
        <x:v>Topic</x:v>
      </x:c>
      <x:c r="E4" s="21" t="str">
        <x:v>Tier</x:v>
      </x:c>
      <x:c r="F4" s="21" t="str">
        <x:v>Formats / target formats</x:v>
      </x:c>
      <x:c r="G4" s="21" t="str">
        <x:v>Geographic scope</x:v>
      </x:c>
      <x:c r="H4" s="21" t="str">
        <x:v>Publisher</x:v>
      </x:c>
      <x:c r="I4" s="21" t="str">
        <x:v>Access method</x:v>
      </x:c>
      <x:c r="J4" s="21" t="str">
        <x:v>Download URL</x:v>
      </x:c>
      <x:c r="K4" s="21" t="str">
        <x:v>API / resolver URL</x:v>
      </x:c>
      <x:c r="L4" s="21" t="str">
        <x:v>Dataset page</x:v>
      </x:c>
      <x:c r="M4" s="21" t="str">
        <x:v>Licence note</x:v>
      </x:c>
      <x:c r="N4" s="21" t="str">
        <x:v>Observation period</x:v>
      </x:c>
      <x:c r="O4" s="21" t="str">
        <x:v>Endpoint check</x:v>
      </x:c>
      <x:c r="P4" s="21" t="str">
        <x:v>Format basis</x:v>
      </x:c>
      <x:c r="Q4" s="21" t="str">
        <x:v>Data / access notes</x:v>
      </x:c>
      <x:c r="R4" s="21" t="str">
        <x:v>Research source URL</x:v>
      </x:c>
      <x:c r="S4" s="21" t="str">
        <x:v>Checked date</x:v>
      </x:c>
      <x:c r="T4" s="21" t="str">
        <x:v>Shared dataset ID</x:v>
      </x:c>
      <x:c r="U4" s="21" t="str">
        <x:v>Entry ID</x:v>
      </x:c>
      <x:c r="V4" s="21" t="str">
        <x:v>Metadata API</x:v>
      </x:c>
      <x:c r="W4" s="34" t="str">
        <x:v>First occurrence</x:v>
      </x:c>
    </x:row>
    <x:row r="5" ht="94" customHeight="1">
      <x:c r="A5" s="28" t="str">
        <x:v>Airdrie</x:v>
      </x:c>
      <x:c r="B5" s="28" t="str">
        <x:v>AB</x:v>
      </x:c>
      <x:c r="C5" s="28" t="str">
        <x:v>Park facilities</x:v>
      </x:c>
      <x:c r="D5" s="28" t="str">
        <x:v>Parks and recreation</x:v>
      </x:c>
      <x:c r="E5" s="28" t="str">
        <x:v>D</x:v>
      </x:c>
      <x:c r="F5" s="28" t="str">
        <x:v>Unconfirmed: CSV / GeoJSON / SHP target formats</x:v>
      </x:c>
      <x:c r="G5" s="28" t="str">
        <x:v>Municipal dataset</x:v>
      </x:c>
      <x:c r="H5" s="28" t="str">
        <x:v>City of Airdrie</x:v>
      </x:c>
      <x:c r="I5" s="28" t="str">
        <x:v>ArcGIS Hub Download / service API</x:v>
      </x:c>
      <x:c r="J5" s="28" t="str"/>
      <x:c r="K5" s="28" t="str"/>
      <x:c r="L5" s="28" t="str">
        <x:v>https://data-airdrie.opendata.arcgis.com/datasets/9e99fc4c5e554d4b8fc6b506fba530d4_0/explore</x:v>
      </x:c>
      <x:c r="M5" s="28" t="str">
        <x:v>See dataset licence</x:v>
      </x:c>
      <x:c r="N5" s="28" t="str">
        <x:v>See resource metadata</x:v>
      </x:c>
      <x:c r="O5" s="28" t="str">
        <x:v>Link / metadata located; payload not downloaded</x:v>
      </x:c>
      <x:c r="P5" s="28" t="str">
        <x:v>Specific dataset lead; per-resource export formats need verification</x:v>
      </x:c>
      <x:c r="Q5" s="28" t="str">
        <x:v> Use GeoJSON/SHP to retain geometry; inspect layer export options.</x:v>
      </x:c>
      <x:c r="R5" s="28" t="str">
        <x:v>https://www150.statcan.gc.ca/n1/pub/21-26-0002/2021001/meta-eng.htm</x:v>
      </x:c>
      <x:c r="S5" s="28" t="str">
        <x:v>2026-10-07</x:v>
      </x:c>
      <x:c r="T5" s="28" t="str">
        <x:v>DS-0fcc92186d41</x:v>
      </x:c>
      <x:c r="U5" s="28" t="str">
        <x:v>CA-0038</x:v>
      </x:c>
      <x:c r="V5" s="28" t="str">
        <x:v>https://www.arcgis.com/sharing/rest/content/items/9e99fc4c5e554d4b8fc6b506fba530d4?f=pjson</x:v>
      </x:c>
      <x:c r="W5" t="n">
        <x:f>IF(COUNTIF($T$5:T5,T5)=1,1,0)</x:f>
        <x:v>1</x:v>
      </x:c>
    </x:row>
    <x:row r="6" ht="94" customHeight="1">
      <x:c r="A6" s="28" t="str">
        <x:v>Calgary</x:v>
      </x:c>
      <x:c r="B6" s="28" t="str">
        <x:v>AB</x:v>
      </x:c>
      <x:c r="C6" s="28" t="str">
        <x:v>Births and deaths by community</x:v>
      </x:c>
      <x:c r="D6" s="28" t="str">
        <x:v>Demographics</x:v>
      </x:c>
      <x:c r="E6" s="28" t="str">
        <x:v>C</x:v>
      </x:c>
      <x:c r="F6" s="28" t="str">
        <x:v>CSV; JSON</x:v>
      </x:c>
      <x:c r="G6" s="28" t="str">
        <x:v>Municipal dataset</x:v>
      </x:c>
      <x:c r="H6" s="28" t="str">
        <x:v>City of Calgary</x:v>
      </x:c>
      <x:c r="I6" s="28" t="str">
        <x:v>Socrata export / SODA API</x:v>
      </x:c>
      <x:c r="J6" s="28" t="str">
        <x:v>https://data.calgary.ca/api/views/d7pp-tdti/rows.csv?accessType=DOWNLOAD</x:v>
      </x:c>
      <x:c r="K6" s="28" t="str">
        <x:v>https://data.calgary.ca/resource/d7pp-tdti.json</x:v>
      </x:c>
      <x:c r="L6" s="28" t="str">
        <x:v>https://data.calgary.ca/d/d7pp-tdti</x:v>
      </x:c>
      <x:c r="M6" s="28" t="str">
        <x:v>See dataset licence</x:v>
      </x:c>
      <x:c r="N6" s="28" t="str">
        <x:v>See resource metadata</x:v>
      </x:c>
      <x:c r="O6" s="28" t="str">
        <x:v>Derived URL; not fetched</x:v>
      </x:c>
      <x:c r="P6" s="28" t="str">
        <x:v>Dataset located; endpoint constructed from platform or live service schema</x:v>
      </x:c>
      <x:c r="Q6" s="28" t="str">
        <x:v>Uses 2016 community boundaries. Export/API URLs use documented platform patterns; payload not fetched.</x:v>
      </x:c>
      <x:c r="R6" s="28" t="str">
        <x:v>https://data.calgary.ca/d/d7pp-tdti</x:v>
      </x:c>
      <x:c r="S6" s="28" t="str">
        <x:v>2026-10-07</x:v>
      </x:c>
      <x:c r="T6" s="28" t="str">
        <x:v>DS-bc7695dfb6c7</x:v>
      </x:c>
      <x:c r="U6" s="28" t="str">
        <x:v>CA-0009</x:v>
      </x:c>
      <x:c r="V6" s="28" t="str"/>
      <x:c r="W6" t="n">
        <x:f>IF(COUNTIF($T$5:T6,T6)=1,1,0)</x:f>
        <x:v>1</x:v>
      </x:c>
    </x:row>
    <x:row r="7" ht="94" customHeight="1">
      <x:c r="A7" s="28" t="str">
        <x:v>Calgary</x:v>
      </x:c>
      <x:c r="B7" s="28" t="str">
        <x:v>AB</x:v>
      </x:c>
      <x:c r="C7" s="28" t="str">
        <x:v>Building permits</x:v>
      </x:c>
      <x:c r="D7" s="28" t="str">
        <x:v>Construction</x:v>
      </x:c>
      <x:c r="E7" s="28" t="str">
        <x:v>C</x:v>
      </x:c>
      <x:c r="F7" s="28" t="str">
        <x:v>CSV; JSON</x:v>
      </x:c>
      <x:c r="G7" s="28" t="str">
        <x:v>Municipal dataset</x:v>
      </x:c>
      <x:c r="H7" s="28" t="str">
        <x:v>City of Calgary</x:v>
      </x:c>
      <x:c r="I7" s="28" t="str">
        <x:v>Socrata export / SODA API</x:v>
      </x:c>
      <x:c r="J7" s="28" t="str">
        <x:v>https://data.calgary.ca/api/views/c2es-76ed/rows.csv?accessType=DOWNLOAD</x:v>
      </x:c>
      <x:c r="K7" s="28" t="str">
        <x:v>https://data.calgary.ca/resource/c2es-76ed.json</x:v>
      </x:c>
      <x:c r="L7" s="28" t="str">
        <x:v>https://data.calgary.ca/d/c2es-76ed</x:v>
      </x:c>
      <x:c r="M7" s="28" t="str">
        <x:v>See dataset licence</x:v>
      </x:c>
      <x:c r="N7" s="28" t="str">
        <x:v>See resource metadata</x:v>
      </x:c>
      <x:c r="O7" s="28" t="str">
        <x:v>Derived URL; not fetched</x:v>
      </x:c>
      <x:c r="P7" s="28" t="str">
        <x:v>Dataset located; endpoint constructed from platform or live service schema</x:v>
      </x:c>
      <x:c r="Q7" s="28" t="str">
        <x:v> Export/API URLs use documented platform patterns; payload not fetched.</x:v>
      </x:c>
      <x:c r="R7" s="28" t="str">
        <x:v>https://data.calgary.ca/d/c2es-76ed</x:v>
      </x:c>
      <x:c r="S7" s="28" t="str">
        <x:v>2026-10-07</x:v>
      </x:c>
      <x:c r="T7" s="28" t="str">
        <x:v>DS-4799bda02afe</x:v>
      </x:c>
      <x:c r="U7" s="28" t="str">
        <x:v>CA-0007</x:v>
      </x:c>
      <x:c r="V7" s="28" t="str"/>
      <x:c r="W7" t="n">
        <x:f>IF(COUNTIF($T$5:T7,T7)=1,1,0)</x:f>
        <x:v>1</x:v>
      </x:c>
    </x:row>
    <x:row r="8" ht="94" customHeight="1">
      <x:c r="A8" s="28" t="str">
        <x:v>Calgary</x:v>
      </x:c>
      <x:c r="B8" s="28" t="str">
        <x:v>AB</x:v>
      </x:c>
      <x:c r="C8" s="28" t="str">
        <x:v>Traffic incidents</x:v>
      </x:c>
      <x:c r="D8" s="28" t="str">
        <x:v>Transportation</x:v>
      </x:c>
      <x:c r="E8" s="28" t="str">
        <x:v>C</x:v>
      </x:c>
      <x:c r="F8" s="28" t="str">
        <x:v>CSV; JSON</x:v>
      </x:c>
      <x:c r="G8" s="28" t="str">
        <x:v>Municipal dataset</x:v>
      </x:c>
      <x:c r="H8" s="28" t="str">
        <x:v>City of Calgary</x:v>
      </x:c>
      <x:c r="I8" s="28" t="str">
        <x:v>Socrata export / SODA API</x:v>
      </x:c>
      <x:c r="J8" s="28" t="str">
        <x:v>https://data.calgary.ca/api/views/35ra-9556/rows.csv?accessType=DOWNLOAD</x:v>
      </x:c>
      <x:c r="K8" s="28" t="str">
        <x:v>https://data.calgary.ca/resource/35ra-9556.json</x:v>
      </x:c>
      <x:c r="L8" s="28" t="str">
        <x:v>https://data.calgary.ca/d/35ra-9556</x:v>
      </x:c>
      <x:c r="M8" s="28" t="str">
        <x:v>See dataset licence</x:v>
      </x:c>
      <x:c r="N8" s="28" t="str">
        <x:v>See resource metadata</x:v>
      </x:c>
      <x:c r="O8" s="28" t="str">
        <x:v>Derived URL; not fetched</x:v>
      </x:c>
      <x:c r="P8" s="28" t="str">
        <x:v>Dataset located; endpoint constructed from platform or live service schema</x:v>
      </x:c>
      <x:c r="Q8" s="28" t="str">
        <x:v> Export/API URLs use documented platform patterns; payload not fetched.</x:v>
      </x:c>
      <x:c r="R8" s="28" t="str">
        <x:v>https://data.calgary.ca/d/35ra-9556</x:v>
      </x:c>
      <x:c r="S8" s="28" t="str">
        <x:v>2026-10-07</x:v>
      </x:c>
      <x:c r="T8" s="28" t="str">
        <x:v>DS-a913b476e71b</x:v>
      </x:c>
      <x:c r="U8" s="28" t="str">
        <x:v>CA-0008</x:v>
      </x:c>
      <x:c r="V8" s="28" t="str"/>
      <x:c r="W8" t="n">
        <x:f>IF(COUNTIF($T$5:T8,T8)=1,1,0)</x:f>
        <x:v>1</x:v>
      </x:c>
    </x:row>
    <x:row r="9" ht="94" customHeight="1">
      <x:c r="A9" s="28" t="str">
        <x:v>Edmonton</x:v>
      </x:c>
      <x:c r="B9" s="28" t="str">
        <x:v>AB</x:v>
      </x:c>
      <x:c r="C9" s="28" t="str">
        <x:v>Business licences</x:v>
      </x:c>
      <x:c r="D9" s="28" t="str">
        <x:v>Business</x:v>
      </x:c>
      <x:c r="E9" s="28" t="str">
        <x:v>C</x:v>
      </x:c>
      <x:c r="F9" s="28" t="str">
        <x:v>CSV; JSON</x:v>
      </x:c>
      <x:c r="G9" s="28" t="str">
        <x:v>Municipal dataset</x:v>
      </x:c>
      <x:c r="H9" s="28" t="str">
        <x:v>City of Edmonton</x:v>
      </x:c>
      <x:c r="I9" s="28" t="str">
        <x:v>Socrata export / SODA API</x:v>
      </x:c>
      <x:c r="J9" s="28" t="str">
        <x:v>https://data.edmonton.ca/api/views/qhi4-bdpu/rows.csv?accessType=DOWNLOAD</x:v>
      </x:c>
      <x:c r="K9" s="28" t="str">
        <x:v>https://data.edmonton.ca/resource/qhi4-bdpu.json</x:v>
      </x:c>
      <x:c r="L9" s="28" t="str">
        <x:v>https://data.edmonton.ca/d/qhi4-bdpu</x:v>
      </x:c>
      <x:c r="M9" s="28" t="str">
        <x:v>See dataset licence</x:v>
      </x:c>
      <x:c r="N9" s="28" t="str">
        <x:v>See resource metadata</x:v>
      </x:c>
      <x:c r="O9" s="28" t="str">
        <x:v>Derived URL; not fetched</x:v>
      </x:c>
      <x:c r="P9" s="28" t="str">
        <x:v>Dataset located; endpoint constructed from platform or live service schema</x:v>
      </x:c>
      <x:c r="Q9" s="28" t="str">
        <x:v>Home business street addresses are suppressed. Export/API URLs use documented platform patterns; payload not fetched.</x:v>
      </x:c>
      <x:c r="R9" s="28" t="str">
        <x:v>https://data.edmonton.ca/d/qhi4-bdpu</x:v>
      </x:c>
      <x:c r="S9" s="28" t="str">
        <x:v>2026-10-07</x:v>
      </x:c>
      <x:c r="T9" s="28" t="str">
        <x:v>DS-071e2846d8d3</x:v>
      </x:c>
      <x:c r="U9" s="28" t="str">
        <x:v>CA-0010</x:v>
      </x:c>
      <x:c r="V9" s="28" t="str"/>
      <x:c r="W9" t="n">
        <x:f>IF(COUNTIF($T$5:T9,T9)=1,1,0)</x:f>
        <x:v>1</x:v>
      </x:c>
    </x:row>
    <x:row r="10" ht="94" customHeight="1">
      <x:c r="A10" s="28" t="str">
        <x:v>Edmonton</x:v>
      </x:c>
      <x:c r="B10" s="28" t="str">
        <x:v>AB</x:v>
      </x:c>
      <x:c r="C10" s="28" t="str">
        <x:v>Development permits from 2019 to present</x:v>
      </x:c>
      <x:c r="D10" s="28" t="str">
        <x:v>Planning</x:v>
      </x:c>
      <x:c r="E10" s="28" t="str">
        <x:v>C</x:v>
      </x:c>
      <x:c r="F10" s="28" t="str">
        <x:v>CSV; JSON</x:v>
      </x:c>
      <x:c r="G10" s="28" t="str">
        <x:v>Municipal dataset</x:v>
      </x:c>
      <x:c r="H10" s="28" t="str">
        <x:v>City of Edmonton</x:v>
      </x:c>
      <x:c r="I10" s="28" t="str">
        <x:v>Socrata export / SODA API</x:v>
      </x:c>
      <x:c r="J10" s="28" t="str">
        <x:v>https://data.edmonton.ca/api/views/q4gd-6q9r/rows.csv?accessType=DOWNLOAD</x:v>
      </x:c>
      <x:c r="K10" s="28" t="str">
        <x:v>https://data.edmonton.ca/resource/q4gd-6q9r.json</x:v>
      </x:c>
      <x:c r="L10" s="28" t="str">
        <x:v>https://data.edmonton.ca/d/q4gd-6q9r</x:v>
      </x:c>
      <x:c r="M10" s="28" t="str">
        <x:v>See dataset licence</x:v>
      </x:c>
      <x:c r="N10" s="28" t="str">
        <x:v>2019 onward</x:v>
      </x:c>
      <x:c r="O10" s="28" t="str">
        <x:v>Derived URL; not fetched</x:v>
      </x:c>
      <x:c r="P10" s="28" t="str">
        <x:v>Dataset located; endpoint constructed from platform or live service schema</x:v>
      </x:c>
      <x:c r="Q10" s="28" t="str">
        <x:v>Official filtered view; distinguish development approvals from building permits. Export/API URLs use documented platform patterns; payload not fetched.</x:v>
      </x:c>
      <x:c r="R10" s="28" t="str">
        <x:v>https://data.edmonton.ca/d/q4gd-6q9r</x:v>
      </x:c>
      <x:c r="S10" s="28" t="str">
        <x:v>2026-10-07</x:v>
      </x:c>
      <x:c r="T10" s="28" t="str">
        <x:v>DS-2332bcc4177e</x:v>
      </x:c>
      <x:c r="U10" s="28" t="str">
        <x:v>CA-0012</x:v>
      </x:c>
      <x:c r="V10" s="28" t="str"/>
      <x:c r="W10" t="n">
        <x:f>IF(COUNTIF($T$5:T10,T10)=1,1,0)</x:f>
        <x:v>1</x:v>
      </x:c>
    </x:row>
    <x:row r="11" ht="94" customHeight="1">
      <x:c r="A11" s="28" t="str">
        <x:v>Edmonton</x:v>
      </x:c>
      <x:c r="B11" s="28" t="str">
        <x:v>AB</x:v>
      </x:c>
      <x:c r="C11" s="28" t="str">
        <x:v>General building permits</x:v>
      </x:c>
      <x:c r="D11" s="28" t="str">
        <x:v>Construction</x:v>
      </x:c>
      <x:c r="E11" s="28" t="str">
        <x:v>C</x:v>
      </x:c>
      <x:c r="F11" s="28" t="str">
        <x:v>CSV; JSON</x:v>
      </x:c>
      <x:c r="G11" s="28" t="str">
        <x:v>Municipal dataset</x:v>
      </x:c>
      <x:c r="H11" s="28" t="str">
        <x:v>City of Edmonton</x:v>
      </x:c>
      <x:c r="I11" s="28" t="str">
        <x:v>Socrata export / SODA API</x:v>
      </x:c>
      <x:c r="J11" s="28" t="str">
        <x:v>https://data.edmonton.ca/api/views/24uj-dj8v/rows.csv?accessType=DOWNLOAD</x:v>
      </x:c>
      <x:c r="K11" s="28" t="str">
        <x:v>https://data.edmonton.ca/resource/24uj-dj8v.json</x:v>
      </x:c>
      <x:c r="L11" s="28" t="str">
        <x:v>https://data.edmonton.ca/d/24uj-dj8v</x:v>
      </x:c>
      <x:c r="M11" s="28" t="str">
        <x:v>See dataset licence</x:v>
      </x:c>
      <x:c r="N11" s="28" t="str">
        <x:v>See resource metadata</x:v>
      </x:c>
      <x:c r="O11" s="28" t="str">
        <x:v>Derived URL; not fetched</x:v>
      </x:c>
      <x:c r="P11" s="28" t="str">
        <x:v>Dataset located; endpoint constructed from platform or live service schema</x:v>
      </x:c>
      <x:c r="Q11" s="28" t="str">
        <x:v> Export/API URLs use documented platform patterns; payload not fetched.</x:v>
      </x:c>
      <x:c r="R11" s="28" t="str">
        <x:v>https://data.edmonton.ca/d/24uj-dj8v</x:v>
      </x:c>
      <x:c r="S11" s="28" t="str">
        <x:v>2026-10-07</x:v>
      </x:c>
      <x:c r="T11" s="28" t="str">
        <x:v>DS-2e5aa5aa3770</x:v>
      </x:c>
      <x:c r="U11" s="28" t="str">
        <x:v>CA-0011</x:v>
      </x:c>
      <x:c r="V11" s="28" t="str"/>
      <x:c r="W11" t="n">
        <x:f>IF(COUNTIF($T$5:T11,T11)=1,1,0)</x:f>
        <x:v>1</x:v>
      </x:c>
    </x:row>
    <x:row r="12" ht="94" customHeight="1">
      <x:c r="A12" s="28" t="str">
        <x:v>Lethbridge</x:v>
      </x:c>
      <x:c r="B12" s="28" t="str">
        <x:v>AB</x:v>
      </x:c>
      <x:c r="C12" s="28" t="str">
        <x:v>Building footprints</x:v>
      </x:c>
      <x:c r="D12" s="28" t="str">
        <x:v>Buildings</x:v>
      </x:c>
      <x:c r="E12" s="28" t="str">
        <x:v>D</x:v>
      </x:c>
      <x:c r="F12" s="28" t="str">
        <x:v>Unconfirmed: CSV / GeoJSON / SHP target formats</x:v>
      </x:c>
      <x:c r="G12" s="28" t="str">
        <x:v>Municipal dataset</x:v>
      </x:c>
      <x:c r="H12" s="28" t="str">
        <x:v>City of Lethbridge</x:v>
      </x:c>
      <x:c r="I12" s="28" t="str">
        <x:v>ArcGIS Hub Download / service API</x:v>
      </x:c>
      <x:c r="J12" s="28" t="str"/>
      <x:c r="K12" s="28" t="str"/>
      <x:c r="L12" s="28" t="str">
        <x:v>https://opendata.lethbridge.ca/datasets/7d32446fb333488598268bd4bc0c830d_0/explore</x:v>
      </x:c>
      <x:c r="M12" s="28" t="str">
        <x:v>See dataset licence</x:v>
      </x:c>
      <x:c r="N12" s="28" t="str">
        <x:v>See resource metadata</x:v>
      </x:c>
      <x:c r="O12" s="28" t="str">
        <x:v>Link / metadata located; payload not downloaded</x:v>
      </x:c>
      <x:c r="P12" s="28" t="str">
        <x:v>Specific dataset lead; per-resource export formats need verification</x:v>
      </x:c>
      <x:c r="Q12" s="28" t="str">
        <x:v> Use GeoJSON/SHP to retain geometry; inspect layer export options.</x:v>
      </x:c>
      <x:c r="R12" s="28" t="str">
        <x:v>https://www150.statcan.gc.ca/n1/pub/34-26-0001/2018001/metadata-eng.htm</x:v>
      </x:c>
      <x:c r="S12" s="28" t="str">
        <x:v>2026-10-07</x:v>
      </x:c>
      <x:c r="T12" s="28" t="str">
        <x:v>DS-7b67feacf65d</x:v>
      </x:c>
      <x:c r="U12" s="28" t="str">
        <x:v>CA-0062</x:v>
      </x:c>
      <x:c r="V12" s="28" t="str">
        <x:v>https://www.arcgis.com/sharing/rest/content/items/7d32446fb333488598268bd4bc0c830d?f=pjson</x:v>
      </x:c>
      <x:c r="W12" t="n">
        <x:f>IF(COUNTIF($T$5:T12,T12)=1,1,0)</x:f>
        <x:v>1</x:v>
      </x:c>
    </x:row>
    <x:row r="13" ht="94" customHeight="1">
      <x:c r="A13" s="28" t="str">
        <x:v>Lethbridge</x:v>
      </x:c>
      <x:c r="B13" s="28" t="str">
        <x:v>AB</x:v>
      </x:c>
      <x:c r="C13" s="28" t="str">
        <x:v>Community services</x:v>
      </x:c>
      <x:c r="D13" s="28" t="str">
        <x:v>Public facilities</x:v>
      </x:c>
      <x:c r="E13" s="28" t="str">
        <x:v>D</x:v>
      </x:c>
      <x:c r="F13" s="28" t="str">
        <x:v>Unconfirmed: CSV / GeoJSON / SHP target formats</x:v>
      </x:c>
      <x:c r="G13" s="28" t="str">
        <x:v>Municipal dataset</x:v>
      </x:c>
      <x:c r="H13" s="28" t="str">
        <x:v>City of Lethbridge</x:v>
      </x:c>
      <x:c r="I13" s="28" t="str">
        <x:v>ArcGIS Hub Download / service API</x:v>
      </x:c>
      <x:c r="J13" s="28" t="str"/>
      <x:c r="K13" s="28" t="str"/>
      <x:c r="L13" s="28" t="str">
        <x:v>https://opendata.lethbridge.ca/datasets/97f253c858e24b18b3807151f7a58b5e_0/explore</x:v>
      </x:c>
      <x:c r="M13" s="28" t="str">
        <x:v>See dataset licence</x:v>
      </x:c>
      <x:c r="N13" s="28" t="str">
        <x:v>See resource metadata</x:v>
      </x:c>
      <x:c r="O13" s="28" t="str">
        <x:v>Link / metadata located; payload not downloaded</x:v>
      </x:c>
      <x:c r="P13" s="28" t="str">
        <x:v>Specific dataset lead; per-resource export formats need verification</x:v>
      </x:c>
      <x:c r="Q13" s="28" t="str">
        <x:v> Use GeoJSON/SHP to retain geometry; inspect layer export options.</x:v>
      </x:c>
      <x:c r="R13" s="28" t="str">
        <x:v>https://www150.statcan.gc.ca/n1/pub/34-26-0001/2018001/metadata-eng.htm</x:v>
      </x:c>
      <x:c r="S13" s="28" t="str">
        <x:v>2026-10-07</x:v>
      </x:c>
      <x:c r="T13" s="28" t="str">
        <x:v>DS-6ce83935b1f0</x:v>
      </x:c>
      <x:c r="U13" s="28" t="str">
        <x:v>CA-0063</x:v>
      </x:c>
      <x:c r="V13" s="28" t="str">
        <x:v>https://www.arcgis.com/sharing/rest/content/items/97f253c858e24b18b3807151f7a58b5e?f=pjson</x:v>
      </x:c>
      <x:c r="W13" t="n">
        <x:f>IF(COUNTIF($T$5:T13,T13)=1,1,0)</x:f>
        <x:v>1</x:v>
      </x:c>
    </x:row>
    <x:row r="14" ht="94" customHeight="1">
      <x:c r="A14" s="28" t="str">
        <x:v>Red Deer</x:v>
      </x:c>
      <x:c r="B14" s="28" t="str">
        <x:v>AB</x:v>
      </x:c>
      <x:c r="C14" s="28" t="str">
        <x:v>Building permits</x:v>
      </x:c>
      <x:c r="D14" s="28" t="str">
        <x:v>Development and business</x:v>
      </x:c>
      <x:c r="E14" s="28" t="str">
        <x:v>A</x:v>
      </x:c>
      <x:c r="F14" s="28" t="str">
        <x:v>CSV; JSON; XLSX</x:v>
      </x:c>
      <x:c r="G14" s="28" t="str">
        <x:v>Municipal dataset</x:v>
      </x:c>
      <x:c r="H14" s="28" t="str">
        <x:v>City of Red Deer</x:v>
      </x:c>
      <x:c r="I14" s="28" t="str">
        <x:v>Direct file / paginated JSON API</x:v>
      </x:c>
      <x:c r="J14" s="28" t="str">
        <x:v>https://data.reddeer.ca/datasets/buildingpermits/download/csv</x:v>
      </x:c>
      <x:c r="K14" s="28" t="str">
        <x:v>https://data.reddeer.ca/api/datasets/building-permits?skip=0&amp;take=50</x:v>
      </x:c>
      <x:c r="L14" s="28" t="str">
        <x:v>https://data.reddeer.ca/buildingpermits</x:v>
      </x:c>
      <x:c r="M14" s="28" t="str">
        <x:v>See dataset licence</x:v>
      </x:c>
      <x:c r="N14" s="28" t="str">
        <x:v>See resource metadata</x:v>
      </x:c>
      <x:c r="O14" s="28" t="str">
        <x:v>Sample JSON returned; CSV not downloaded</x:v>
      </x:c>
      <x:c r="P14" s="28" t="str">
        <x:v>Sample JSON inspected; full export not downloaded</x:v>
      </x:c>
      <x:c r="Q14" s="28" t="str">
        <x:v>Publisher advertises daily updates. JSON API uses skip/take; totalCount reports total records.</x:v>
      </x:c>
      <x:c r="R14" s="28" t="str">
        <x:v>https://data.reddeer.ca/buildingpermits</x:v>
      </x:c>
      <x:c r="S14" s="28" t="str">
        <x:v>2026-10-07</x:v>
      </x:c>
      <x:c r="T14" s="28" t="str">
        <x:v>DS-e1bdc88bdbcb</x:v>
      </x:c>
      <x:c r="U14" s="28" t="str">
        <x:v>CA-0066</x:v>
      </x:c>
      <x:c r="V14" s="28" t="str"/>
      <x:c r="W14" t="n">
        <x:f>IF(COUNTIF($T$5:T14,T14)=1,1,0)</x:f>
        <x:v>1</x:v>
      </x:c>
    </x:row>
    <x:row r="15" ht="94" customHeight="1">
      <x:c r="A15" s="28" t="str">
        <x:v>Red Deer</x:v>
      </x:c>
      <x:c r="B15" s="28" t="str">
        <x:v>AB</x:v>
      </x:c>
      <x:c r="C15" s="28" t="str">
        <x:v>Business licences</x:v>
      </x:c>
      <x:c r="D15" s="28" t="str">
        <x:v>Development and business</x:v>
      </x:c>
      <x:c r="E15" s="28" t="str">
        <x:v>A</x:v>
      </x:c>
      <x:c r="F15" s="28" t="str">
        <x:v>CSV; JSON; XLSX</x:v>
      </x:c>
      <x:c r="G15" s="28" t="str">
        <x:v>Municipal dataset</x:v>
      </x:c>
      <x:c r="H15" s="28" t="str">
        <x:v>City of Red Deer</x:v>
      </x:c>
      <x:c r="I15" s="28" t="str">
        <x:v>Direct file / paginated JSON API</x:v>
      </x:c>
      <x:c r="J15" s="28" t="str">
        <x:v>https://data.reddeer.ca/datasets/businesslicences/download/csv</x:v>
      </x:c>
      <x:c r="K15" s="28" t="str">
        <x:v>https://data.reddeer.ca/api/datasets/business-licences?skip=0&amp;take=50</x:v>
      </x:c>
      <x:c r="L15" s="28" t="str">
        <x:v>https://data.reddeer.ca/businesslicences</x:v>
      </x:c>
      <x:c r="M15" s="28" t="str">
        <x:v>See dataset licence</x:v>
      </x:c>
      <x:c r="N15" s="28" t="str">
        <x:v>See resource metadata</x:v>
      </x:c>
      <x:c r="O15" s="28" t="str">
        <x:v>Sample JSON returned; CSV not downloaded</x:v>
      </x:c>
      <x:c r="P15" s="28" t="str">
        <x:v>Sample JSON inspected; full export not downloaded</x:v>
      </x:c>
      <x:c r="Q15" s="28" t="str">
        <x:v>Publisher advertises daily updates. JSON API uses skip/take; totalCount reports total records.</x:v>
      </x:c>
      <x:c r="R15" s="28" t="str">
        <x:v>https://data.reddeer.ca/businesslicences</x:v>
      </x:c>
      <x:c r="S15" s="28" t="str">
        <x:v>2026-10-07</x:v>
      </x:c>
      <x:c r="T15" s="28" t="str">
        <x:v>DS-8ec62a8abd76</x:v>
      </x:c>
      <x:c r="U15" s="28" t="str">
        <x:v>CA-0067</x:v>
      </x:c>
      <x:c r="V15" s="28" t="str"/>
      <x:c r="W15" t="n">
        <x:f>IF(COUNTIF($T$5:T15,T15)=1,1,0)</x:f>
        <x:v>1</x:v>
      </x:c>
    </x:row>
    <x:row r="16" ht="94" customHeight="1">
      <x:c r="A16" s="28" t="str">
        <x:v>Red Deer</x:v>
      </x:c>
      <x:c r="B16" s="28" t="str">
        <x:v>AB</x:v>
      </x:c>
      <x:c r="C16" s="28" t="str">
        <x:v>Parcel addresses</x:v>
      </x:c>
      <x:c r="D16" s="28" t="str">
        <x:v>Addresses and property</x:v>
      </x:c>
      <x:c r="E16" s="28" t="str">
        <x:v>B</x:v>
      </x:c>
      <x:c r="F16" s="28" t="str">
        <x:v>SHP; XLSX; KMZ</x:v>
      </x:c>
      <x:c r="G16" s="28" t="str">
        <x:v>Municipal dataset</x:v>
      </x:c>
      <x:c r="H16" s="28" t="str">
        <x:v>City of Red Deer</x:v>
      </x:c>
      <x:c r="I16" s="28" t="str">
        <x:v>Publisher download links</x:v>
      </x:c>
      <x:c r="J16" s="28" t="str"/>
      <x:c r="K16" s="28" t="str"/>
      <x:c r="L16" s="28" t="str">
        <x:v>https://data.reddeer.ca/parceladdresses</x:v>
      </x:c>
      <x:c r="M16" s="28" t="str">
        <x:v>See dataset licence</x:v>
      </x:c>
      <x:c r="N16" s="28" t="str">
        <x:v>See resource metadata</x:v>
      </x:c>
      <x:c r="O16" s="28" t="str">
        <x:v>Link / metadata located; payload not downloaded</x:v>
      </x:c>
      <x:c r="P16" s="28" t="str">
        <x:v>Publisher / government metadata documents the listed formats</x:v>
      </x:c>
      <x:c r="Q16" s="28" t="str">
        <x:v>Use SHP for spatial work; Excel is also advertised.</x:v>
      </x:c>
      <x:c r="R16" s="28" t="str">
        <x:v>https://data.reddeer.ca/parceladdresses</x:v>
      </x:c>
      <x:c r="S16" s="28" t="str">
        <x:v>2026-10-07</x:v>
      </x:c>
      <x:c r="T16" s="28" t="str">
        <x:v>DS-dae7a06784c0</x:v>
      </x:c>
      <x:c r="U16" s="28" t="str">
        <x:v>CA-0068</x:v>
      </x:c>
      <x:c r="V16" s="28" t="str"/>
      <x:c r="W16" t="n">
        <x:f>IF(COUNTIF($T$5:T16,T16)=1,1,0)</x:f>
        <x:v>1</x:v>
      </x:c>
    </x:row>
    <x:row r="17" ht="94" customHeight="1">
      <x:c r="A17" s="28" t="str">
        <x:v>Abbotsford</x:v>
      </x:c>
      <x:c r="B17" s="28" t="str">
        <x:v>BC</x:v>
      </x:c>
      <x:c r="C17" s="28" t="str">
        <x:v>Trails</x:v>
      </x:c>
      <x:c r="D17" s="28" t="str">
        <x:v>Transportation</x:v>
      </x:c>
      <x:c r="E17" s="28" t="str">
        <x:v>D</x:v>
      </x:c>
      <x:c r="F17" s="28" t="str">
        <x:v>Unconfirmed: CSV / GeoJSON / SHP target formats</x:v>
      </x:c>
      <x:c r="G17" s="28" t="str">
        <x:v>Municipal dataset</x:v>
      </x:c>
      <x:c r="H17" s="28" t="str">
        <x:v>City of Abbotsford</x:v>
      </x:c>
      <x:c r="I17" s="28" t="str">
        <x:v>ArcGIS Hub Download / service API</x:v>
      </x:c>
      <x:c r="J17" s="28" t="str"/>
      <x:c r="K17" s="28" t="str"/>
      <x:c r="L17" s="28" t="str">
        <x:v>https://opendata-abbotsford.hub.arcgis.com/datasets/84ca83e85e444e9a82044b999f053483_177/explore</x:v>
      </x:c>
      <x:c r="M17" s="28" t="str">
        <x:v>See dataset licence</x:v>
      </x:c>
      <x:c r="N17" s="28" t="str">
        <x:v>See resource metadata</x:v>
      </x:c>
      <x:c r="O17" s="28" t="str">
        <x:v>Link / metadata located; payload not downloaded</x:v>
      </x:c>
      <x:c r="P17" s="28" t="str">
        <x:v>Specific dataset lead; per-resource export formats need verification</x:v>
      </x:c>
      <x:c r="Q17" s="28" t="str">
        <x:v> Use GeoJSON/SHP to retain geometry; inspect layer export options.</x:v>
      </x:c>
      <x:c r="R17" s="28" t="str">
        <x:v>https://www150.statcan.gc.ca/n1/pub/21-26-0002/2021001/meta-eng.htm</x:v>
      </x:c>
      <x:c r="S17" s="28" t="str">
        <x:v>2026-10-07</x:v>
      </x:c>
      <x:c r="T17" s="28" t="str">
        <x:v>DS-e70f3103d1a6</x:v>
      </x:c>
      <x:c r="U17" s="28" t="str">
        <x:v>CA-0029</x:v>
      </x:c>
      <x:c r="V17" s="28" t="str">
        <x:v>https://www.arcgis.com/sharing/rest/content/items/84ca83e85e444e9a82044b999f053483?f=pjson</x:v>
      </x:c>
      <x:c r="W17" t="n">
        <x:f>IF(COUNTIF($T$5:T17,T17)=1,1,0)</x:f>
        <x:v>1</x:v>
      </x:c>
    </x:row>
    <x:row r="18" ht="94" customHeight="1">
      <x:c r="A18" s="28" t="str">
        <x:v>Burnaby</x:v>
      </x:c>
      <x:c r="B18" s="28" t="str">
        <x:v>BC</x:v>
      </x:c>
      <x:c r="C18" s="28" t="str">
        <x:v>Park inventory</x:v>
      </x:c>
      <x:c r="D18" s="28" t="str">
        <x:v>Parks and recreation</x:v>
      </x:c>
      <x:c r="E18" s="28" t="str">
        <x:v>D</x:v>
      </x:c>
      <x:c r="F18" s="28" t="str">
        <x:v>Unconfirmed: CSV / GeoJSON / SHP target formats</x:v>
      </x:c>
      <x:c r="G18" s="28" t="str">
        <x:v>Municipal dataset</x:v>
      </x:c>
      <x:c r="H18" s="28" t="str">
        <x:v>City of Burnaby</x:v>
      </x:c>
      <x:c r="I18" s="28" t="str">
        <x:v>ArcGIS Hub Download / service API</x:v>
      </x:c>
      <x:c r="J18" s="28" t="str"/>
      <x:c r="K18" s="28" t="str"/>
      <x:c r="L18" s="28" t="str">
        <x:v>https://data.burnaby.ca/datasets/a1a896a4209d4325bacacea417ffc400_6/explore</x:v>
      </x:c>
      <x:c r="M18" s="28" t="str">
        <x:v>See dataset licence</x:v>
      </x:c>
      <x:c r="N18" s="28" t="str">
        <x:v>See resource metadata</x:v>
      </x:c>
      <x:c r="O18" s="28" t="str">
        <x:v>Link / metadata located; payload not downloaded</x:v>
      </x:c>
      <x:c r="P18" s="28" t="str">
        <x:v>Specific dataset lead; per-resource export formats need verification</x:v>
      </x:c>
      <x:c r="Q18" s="28" t="str">
        <x:v> Use GeoJSON/SHP to retain geometry; inspect layer export options.</x:v>
      </x:c>
      <x:c r="R18" s="28" t="str">
        <x:v>https://www150.statcan.gc.ca/n1/pub/21-26-0002/2021001/meta-eng.htm</x:v>
      </x:c>
      <x:c r="S18" s="28" t="str">
        <x:v>2026-10-07</x:v>
      </x:c>
      <x:c r="T18" s="28" t="str">
        <x:v>DS-a4dcdb95da32</x:v>
      </x:c>
      <x:c r="U18" s="28" t="str">
        <x:v>CA-0030</x:v>
      </x:c>
      <x:c r="V18" s="28" t="str">
        <x:v>https://www.arcgis.com/sharing/rest/content/items/a1a896a4209d4325bacacea417ffc400?f=pjson</x:v>
      </x:c>
      <x:c r="W18" t="n">
        <x:f>IF(COUNTIF($T$5:T18,T18)=1,1,0)</x:f>
        <x:v>1</x:v>
      </x:c>
    </x:row>
    <x:row r="19" ht="94" customHeight="1">
      <x:c r="A19" s="28" t="str">
        <x:v>Burnaby</x:v>
      </x:c>
      <x:c r="B19" s="28" t="str">
        <x:v>BC</x:v>
      </x:c>
      <x:c r="C19" s="28" t="str">
        <x:v>Urban paths and trails</x:v>
      </x:c>
      <x:c r="D19" s="28" t="str">
        <x:v>Transportation</x:v>
      </x:c>
      <x:c r="E19" s="28" t="str">
        <x:v>D</x:v>
      </x:c>
      <x:c r="F19" s="28" t="str">
        <x:v>Unconfirmed: CSV / GeoJSON / SHP target formats</x:v>
      </x:c>
      <x:c r="G19" s="28" t="str">
        <x:v>Municipal dataset</x:v>
      </x:c>
      <x:c r="H19" s="28" t="str">
        <x:v>City of Burnaby</x:v>
      </x:c>
      <x:c r="I19" s="28" t="str">
        <x:v>ArcGIS Hub Download / service API</x:v>
      </x:c>
      <x:c r="J19" s="28" t="str"/>
      <x:c r="K19" s="28" t="str"/>
      <x:c r="L19" s="28" t="str">
        <x:v>https://data.burnaby.ca/datasets/a67af76a2e834288be38c5c8f7bbbd93_14/explore</x:v>
      </x:c>
      <x:c r="M19" s="28" t="str">
        <x:v>See dataset licence</x:v>
      </x:c>
      <x:c r="N19" s="28" t="str">
        <x:v>See resource metadata</x:v>
      </x:c>
      <x:c r="O19" s="28" t="str">
        <x:v>Link / metadata located; payload not downloaded</x:v>
      </x:c>
      <x:c r="P19" s="28" t="str">
        <x:v>Specific dataset lead; per-resource export formats need verification</x:v>
      </x:c>
      <x:c r="Q19" s="28" t="str">
        <x:v> Use GeoJSON/SHP to retain geometry; inspect layer export options.</x:v>
      </x:c>
      <x:c r="R19" s="28" t="str">
        <x:v>https://www150.statcan.gc.ca/n1/pub/21-26-0002/2021001/meta-eng.htm</x:v>
      </x:c>
      <x:c r="S19" s="28" t="str">
        <x:v>2026-10-07</x:v>
      </x:c>
      <x:c r="T19" s="28" t="str">
        <x:v>DS-bb04d04c160e</x:v>
      </x:c>
      <x:c r="U19" s="28" t="str">
        <x:v>CA-0031</x:v>
      </x:c>
      <x:c r="V19" s="28" t="str">
        <x:v>https://www.arcgis.com/sharing/rest/content/items/a67af76a2e834288be38c5c8f7bbbd93?f=pjson</x:v>
      </x:c>
      <x:c r="W19" t="n">
        <x:f>IF(COUNTIF($T$5:T19,T19)=1,1,0)</x:f>
        <x:v>1</x:v>
      </x:c>
    </x:row>
    <x:row r="20" ht="94" customHeight="1">
      <x:c r="A20" s="28" t="str">
        <x:v>Chilliwack</x:v>
      </x:c>
      <x:c r="B20" s="28" t="str">
        <x:v>BC</x:v>
      </x:c>
      <x:c r="C20" s="28" t="str">
        <x:v>Zoning</x:v>
      </x:c>
      <x:c r="D20" s="28" t="str">
        <x:v>Planning</x:v>
      </x:c>
      <x:c r="E20" s="28" t="str">
        <x:v>B</x:v>
      </x:c>
      <x:c r="F20" s="28" t="str">
        <x:v>JSON; SHP; GDB; KML</x:v>
      </x:c>
      <x:c r="G20" s="28" t="str">
        <x:v>Municipal dataset</x:v>
      </x:c>
      <x:c r="H20" s="28" t="str">
        <x:v>City of Chilliwack</x:v>
      </x:c>
      <x:c r="I20" s="28" t="str">
        <x:v>Publisher download links</x:v>
      </x:c>
      <x:c r="J20" s="28" t="str"/>
      <x:c r="K20" s="28" t="str"/>
      <x:c r="L20" s="28" t="str">
        <x:v>https://www.chilliwack.com/main/page.cfm?id=2331&amp;odAction=viewItem&amp;odID=169</x:v>
      </x:c>
      <x:c r="M20" s="28" t="str">
        <x:v>City of Chilliwack open data terms</x:v>
      </x:c>
      <x:c r="N20" s="28" t="str">
        <x:v>See resource metadata</x:v>
      </x:c>
      <x:c r="O20" s="28" t="str">
        <x:v>Link / metadata located; payload not downloaded</x:v>
      </x:c>
      <x:c r="P20" s="28" t="str">
        <x:v>Publisher / government metadata documents the listed formats</x:v>
      </x:c>
      <x:c r="Q20" s="28" t="str">
        <x:v>Projected downloads use EPSG:3157; KML is geographic. Inspect JSON schema before assuming GeoJSON.</x:v>
      </x:c>
      <x:c r="R20" s="28" t="str">
        <x:v>https://www.chilliwack.com/main/page.cfm?id=2331&amp;odAction=viewItem&amp;odID=169</x:v>
      </x:c>
      <x:c r="S20" s="28" t="str">
        <x:v>2026-10-07</x:v>
      </x:c>
      <x:c r="T20" s="28" t="str">
        <x:v>DS-766c767630b4</x:v>
      </x:c>
      <x:c r="U20" s="28" t="str">
        <x:v>CA-0096</x:v>
      </x:c>
      <x:c r="V20" s="28" t="str"/>
      <x:c r="W20" t="n">
        <x:f>IF(COUNTIF($T$5:T20,T20)=1,1,0)</x:f>
        <x:v>1</x:v>
      </x:c>
    </x:row>
    <x:row r="21" ht="94" customHeight="1">
      <x:c r="A21" s="28" t="str">
        <x:v>Coquitlam</x:v>
      </x:c>
      <x:c r="B21" s="28" t="str">
        <x:v>BC</x:v>
      </x:c>
      <x:c r="C21" s="28" t="str">
        <x:v>Maintained trails</x:v>
      </x:c>
      <x:c r="D21" s="28" t="str">
        <x:v>Parks and recreation</x:v>
      </x:c>
      <x:c r="E21" s="28" t="str">
        <x:v>D</x:v>
      </x:c>
      <x:c r="F21" s="28" t="str">
        <x:v>Unconfirmed: CSV / GeoJSON / SHP target formats</x:v>
      </x:c>
      <x:c r="G21" s="28" t="str">
        <x:v>Municipal dataset</x:v>
      </x:c>
      <x:c r="H21" s="28" t="str">
        <x:v>City of Coquitlam</x:v>
      </x:c>
      <x:c r="I21" s="28" t="str">
        <x:v>ArcGIS Hub Download / service API</x:v>
      </x:c>
      <x:c r="J21" s="28" t="str"/>
      <x:c r="K21" s="28" t="str"/>
      <x:c r="L21" s="28" t="str">
        <x:v>https://data.coquitlam.ca/datasets/Coquitlam::parks-recreation-and-culture-1/explore?layer=10</x:v>
      </x:c>
      <x:c r="M21" s="28" t="str">
        <x:v>See dataset licence</x:v>
      </x:c>
      <x:c r="N21" s="28" t="str">
        <x:v>See resource metadata</x:v>
      </x:c>
      <x:c r="O21" s="28" t="str">
        <x:v>Link / metadata located; payload not downloaded</x:v>
      </x:c>
      <x:c r="P21" s="28" t="str">
        <x:v>Specific dataset lead; per-resource export formats need verification</x:v>
      </x:c>
      <x:c r="Q21" s="28" t="str">
        <x:v> Use GeoJSON/SHP to retain geometry; inspect layer export options.</x:v>
      </x:c>
      <x:c r="R21" s="28" t="str">
        <x:v>https://www150.statcan.gc.ca/n1/pub/21-26-0002/2021001/meta-eng.htm</x:v>
      </x:c>
      <x:c r="S21" s="28" t="str">
        <x:v>2026-10-07</x:v>
      </x:c>
      <x:c r="T21" s="28" t="str">
        <x:v>DS-50280e9ad657</x:v>
      </x:c>
      <x:c r="U21" s="28" t="str">
        <x:v>CA-0086</x:v>
      </x:c>
      <x:c r="V21" s="28" t="str"/>
      <x:c r="W21" t="n">
        <x:f>IF(COUNTIF($T$5:T21,T21)=1,1,0)</x:f>
        <x:v>1</x:v>
      </x:c>
    </x:row>
    <x:row r="22" ht="94" customHeight="1">
      <x:c r="A22" s="28" t="str">
        <x:v>Coquitlam</x:v>
      </x:c>
      <x:c r="B22" s="28" t="str">
        <x:v>BC</x:v>
      </x:c>
      <x:c r="C22" s="28" t="str">
        <x:v>Parks</x:v>
      </x:c>
      <x:c r="D22" s="28" t="str">
        <x:v>Parks and recreation</x:v>
      </x:c>
      <x:c r="E22" s="28" t="str">
        <x:v>D</x:v>
      </x:c>
      <x:c r="F22" s="28" t="str">
        <x:v>Unconfirmed: CSV / GeoJSON / SHP target formats</x:v>
      </x:c>
      <x:c r="G22" s="28" t="str">
        <x:v>Municipal dataset</x:v>
      </x:c>
      <x:c r="H22" s="28" t="str">
        <x:v>City of Coquitlam</x:v>
      </x:c>
      <x:c r="I22" s="28" t="str">
        <x:v>ArcGIS Hub Download / service API</x:v>
      </x:c>
      <x:c r="J22" s="28" t="str"/>
      <x:c r="K22" s="28" t="str"/>
      <x:c r="L22" s="28" t="str">
        <x:v>https://data.coquitlam.ca/datasets/Coquitlam::parks-recreation-and-culture-1/explore?layer=9</x:v>
      </x:c>
      <x:c r="M22" s="28" t="str">
        <x:v>See dataset licence</x:v>
      </x:c>
      <x:c r="N22" s="28" t="str">
        <x:v>See resource metadata</x:v>
      </x:c>
      <x:c r="O22" s="28" t="str">
        <x:v>Link / metadata located; payload not downloaded</x:v>
      </x:c>
      <x:c r="P22" s="28" t="str">
        <x:v>Specific dataset lead; per-resource export formats need verification</x:v>
      </x:c>
      <x:c r="Q22" s="28" t="str">
        <x:v> Use GeoJSON/SHP to retain geometry; inspect layer export options.</x:v>
      </x:c>
      <x:c r="R22" s="28" t="str">
        <x:v>https://www150.statcan.gc.ca/n1/pub/21-26-0002/2021001/meta-eng.htm</x:v>
      </x:c>
      <x:c r="S22" s="28" t="str">
        <x:v>2026-10-07</x:v>
      </x:c>
      <x:c r="T22" s="28" t="str">
        <x:v>DS-5b82bde0032d</x:v>
      </x:c>
      <x:c r="U22" s="28" t="str">
        <x:v>CA-0085</x:v>
      </x:c>
      <x:c r="V22" s="28" t="str"/>
      <x:c r="W22" t="n">
        <x:f>IF(COUNTIF($T$5:T22,T22)=1,1,0)</x:f>
        <x:v>1</x:v>
      </x:c>
    </x:row>
    <x:row r="23" ht="94" customHeight="1">
      <x:c r="A23" s="28" t="str">
        <x:v>Kamloops</x:v>
      </x:c>
      <x:c r="B23" s="28" t="str">
        <x:v>BC</x:v>
      </x:c>
      <x:c r="C23" s="28" t="str">
        <x:v>Parks GIS package</x:v>
      </x:c>
      <x:c r="D23" s="28" t="str">
        <x:v>Parks and recreation</x:v>
      </x:c>
      <x:c r="E23" s="28" t="str">
        <x:v>D</x:v>
      </x:c>
      <x:c r="F23" s="28" t="str">
        <x:v>SHP (ZIP)</x:v>
      </x:c>
      <x:c r="G23" s="28" t="str">
        <x:v>Municipal dataset</x:v>
      </x:c>
      <x:c r="H23" s="28" t="str">
        <x:v>City of Kamloops</x:v>
      </x:c>
      <x:c r="I23" s="28" t="str">
        <x:v>File download</x:v>
      </x:c>
      <x:c r="J23" s="28" t="str"/>
      <x:c r="K23" s="28" t="str"/>
      <x:c r="L23" s="28" t="str">
        <x:v>https://mydata-kamloops.opendata.arcgis.com/documents/8070d6bd9d8f4bf18d858c883f277628/about</x:v>
      </x:c>
      <x:c r="M23" s="28" t="str">
        <x:v>Open Government Licence - Kamloops</x:v>
      </x:c>
      <x:c r="N23" s="28" t="str">
        <x:v>See resource metadata</x:v>
      </x:c>
      <x:c r="O23" s="28" t="str">
        <x:v>Link / metadata located; payload not downloaded</x:v>
      </x:c>
      <x:c r="P23" s="28" t="str">
        <x:v>Government source lists a machine-readable file; current download not tested</x:v>
      </x:c>
      <x:c r="Q23" s="28" t="str">
        <x:v>Package includes parks-related public services and trail/bikeway layers.</x:v>
      </x:c>
      <x:c r="R23" s="28" t="str">
        <x:v>https://www150.statcan.gc.ca/n1/pub/21-26-0002/2021001/meta-eng.htm</x:v>
      </x:c>
      <x:c r="S23" s="28" t="str">
        <x:v>2026-10-07</x:v>
      </x:c>
      <x:c r="T23" s="28" t="str">
        <x:v>DS-3adf4c027ecc</x:v>
      </x:c>
      <x:c r="U23" s="28" t="str">
        <x:v>CA-0064</x:v>
      </x:c>
      <x:c r="V23" s="28" t="str">
        <x:v>https://www.arcgis.com/sharing/rest/content/items/8070d6bd9d8f4bf18d858c883f277628?f=pjson</x:v>
      </x:c>
      <x:c r="W23" t="n">
        <x:f>IF(COUNTIF($T$5:T23,T23)=1,1,0)</x:f>
        <x:v>1</x:v>
      </x:c>
    </x:row>
    <x:row r="24" ht="94" customHeight="1">
      <x:c r="A24" s="28" t="str">
        <x:v>Kelowna</x:v>
      </x:c>
      <x:c r="B24" s="28" t="str">
        <x:v>BC</x:v>
      </x:c>
      <x:c r="C24" s="28" t="str">
        <x:v>Off-leash dog areas</x:v>
      </x:c>
      <x:c r="D24" s="28" t="str">
        <x:v>Parks and recreation</x:v>
      </x:c>
      <x:c r="E24" s="28" t="str">
        <x:v>D</x:v>
      </x:c>
      <x:c r="F24" s="28" t="str">
        <x:v>Unconfirmed: CSV / GeoJSON / SHP target formats</x:v>
      </x:c>
      <x:c r="G24" s="28" t="str">
        <x:v>Municipal dataset</x:v>
      </x:c>
      <x:c r="H24" s="28" t="str">
        <x:v>City of Kelowna</x:v>
      </x:c>
      <x:c r="I24" s="28" t="str">
        <x:v>ArcGIS Hub Download / service API</x:v>
      </x:c>
      <x:c r="J24" s="28" t="str"/>
      <x:c r="K24" s="28" t="str"/>
      <x:c r="L24" s="28" t="str">
        <x:v>https://opendata.kelowna.ca/datasets/ef227e290b4949db8a4f437f8c2fe60f_13/explore</x:v>
      </x:c>
      <x:c r="M24" s="28" t="str">
        <x:v>See dataset licence</x:v>
      </x:c>
      <x:c r="N24" s="28" t="str">
        <x:v>See resource metadata</x:v>
      </x:c>
      <x:c r="O24" s="28" t="str">
        <x:v>Link / metadata located; payload not downloaded</x:v>
      </x:c>
      <x:c r="P24" s="28" t="str">
        <x:v>Specific dataset lead; per-resource export formats need verification</x:v>
      </x:c>
      <x:c r="Q24" s="28" t="str">
        <x:v> Use GeoJSON/SHP to retain geometry; inspect layer export options.</x:v>
      </x:c>
      <x:c r="R24" s="28" t="str">
        <x:v>https://www150.statcan.gc.ca/n1/pub/21-26-0002/2021001/meta-eng.htm</x:v>
      </x:c>
      <x:c r="S24" s="28" t="str">
        <x:v>2026-10-07</x:v>
      </x:c>
      <x:c r="T24" s="28" t="str">
        <x:v>DS-4a7c2e3eabd5</x:v>
      </x:c>
      <x:c r="U24" s="28" t="str">
        <x:v>CA-0033</x:v>
      </x:c>
      <x:c r="V24" s="28" t="str">
        <x:v>https://www.arcgis.com/sharing/rest/content/items/ef227e290b4949db8a4f437f8c2fe60f?f=pjson</x:v>
      </x:c>
      <x:c r="W24" t="n">
        <x:f>IF(COUNTIF($T$5:T24,T24)=1,1,0)</x:f>
        <x:v>1</x:v>
      </x:c>
    </x:row>
    <x:row r="25" ht="94" customHeight="1">
      <x:c r="A25" s="28" t="str">
        <x:v>Kelowna</x:v>
      </x:c>
      <x:c r="B25" s="28" t="str">
        <x:v>BC</x:v>
      </x:c>
      <x:c r="C25" s="28" t="str">
        <x:v>Parks</x:v>
      </x:c>
      <x:c r="D25" s="28" t="str">
        <x:v>Parks and recreation</x:v>
      </x:c>
      <x:c r="E25" s="28" t="str">
        <x:v>D</x:v>
      </x:c>
      <x:c r="F25" s="28" t="str">
        <x:v>Unconfirmed: CSV / GeoJSON / SHP target formats</x:v>
      </x:c>
      <x:c r="G25" s="28" t="str">
        <x:v>Municipal dataset</x:v>
      </x:c>
      <x:c r="H25" s="28" t="str">
        <x:v>City of Kelowna</x:v>
      </x:c>
      <x:c r="I25" s="28" t="str">
        <x:v>ArcGIS Hub Download / service API</x:v>
      </x:c>
      <x:c r="J25" s="28" t="str"/>
      <x:c r="K25" s="28" t="str"/>
      <x:c r="L25" s="28" t="str">
        <x:v>https://opendata.kelowna.ca/datasets/b35d27c3a48040d59f5f745d9416ecd2_14/explore</x:v>
      </x:c>
      <x:c r="M25" s="28" t="str">
        <x:v>See dataset licence</x:v>
      </x:c>
      <x:c r="N25" s="28" t="str">
        <x:v>See resource metadata</x:v>
      </x:c>
      <x:c r="O25" s="28" t="str">
        <x:v>Link / metadata located; payload not downloaded</x:v>
      </x:c>
      <x:c r="P25" s="28" t="str">
        <x:v>Specific dataset lead; per-resource export formats need verification</x:v>
      </x:c>
      <x:c r="Q25" s="28" t="str">
        <x:v> Use GeoJSON/SHP to retain geometry; inspect layer export options.</x:v>
      </x:c>
      <x:c r="R25" s="28" t="str">
        <x:v>https://www150.statcan.gc.ca/n1/pub/21-26-0002/2021001/meta-eng.htm</x:v>
      </x:c>
      <x:c r="S25" s="28" t="str">
        <x:v>2026-10-07</x:v>
      </x:c>
      <x:c r="T25" s="28" t="str">
        <x:v>DS-c4573681d92e</x:v>
      </x:c>
      <x:c r="U25" s="28" t="str">
        <x:v>CA-0032</x:v>
      </x:c>
      <x:c r="V25" s="28" t="str">
        <x:v>https://www.arcgis.com/sharing/rest/content/items/b35d27c3a48040d59f5f745d9416ecd2?f=pjson</x:v>
      </x:c>
      <x:c r="W25" t="n">
        <x:f>IF(COUNTIF($T$5:T25,T25)=1,1,0)</x:f>
        <x:v>1</x:v>
      </x:c>
    </x:row>
    <x:row r="26" ht="94" customHeight="1">
      <x:c r="A26" s="28" t="str">
        <x:v>Nanaimo</x:v>
      </x:c>
      <x:c r="B26" s="28" t="str">
        <x:v>BC</x:v>
      </x:c>
      <x:c r="C26" s="28" t="str">
        <x:v>Regional district community parks</x:v>
      </x:c>
      <x:c r="D26" s="28" t="str">
        <x:v>Parks</x:v>
      </x:c>
      <x:c r="E26" s="28" t="str">
        <x:v>D</x:v>
      </x:c>
      <x:c r="F26" s="28" t="str">
        <x:v>SHP (ZIP)</x:v>
      </x:c>
      <x:c r="G26" s="28" t="str">
        <x:v>Regional dataset; city filter required</x:v>
      </x:c>
      <x:c r="H26" s="28" t="str">
        <x:v>Regional District of Nanaimo</x:v>
      </x:c>
      <x:c r="I26" s="28" t="str">
        <x:v>Direct ZIP from government source manifest</x:v>
      </x:c>
      <x:c r="J26" s="28" t="str">
        <x:v>https://rdn.bc.ca/sites/default/files/inline-files/CommunityParks_76.zip</x:v>
      </x:c>
      <x:c r="K26" s="28" t="str"/>
      <x:c r="L26" s="28" t="str">
        <x:v>https://rdn.bc.ca/sites/default/files/inline-files/CommunityParks_76.zip</x:v>
      </x:c>
      <x:c r="M26" s="28" t="str">
        <x:v>Open Government Licence - Regional District of Nanaimo 1.0</x:v>
      </x:c>
      <x:c r="N26" s="28" t="str">
        <x:v>See resource metadata</x:v>
      </x:c>
      <x:c r="O26" s="28" t="str">
        <x:v>Link / metadata located; payload not downloaded</x:v>
      </x:c>
      <x:c r="P26" s="28" t="str">
        <x:v>Government source lists a machine-readable file; current download not tested</x:v>
      </x:c>
      <x:c r="Q26" s="28" t="str">
        <x:v>Regional District of Nanaimo source, not a complete City of Nanaimo parks inventory. Spatially intersect with the city; coverage inside the municipality is not guaranteed.</x:v>
      </x:c>
      <x:c r="R26" s="28" t="str">
        <x:v>https://www150.statcan.gc.ca/n1/pub/21-26-0002/2021001/meta-eng.htm</x:v>
      </x:c>
      <x:c r="S26" s="28" t="str">
        <x:v>2026-10-07</x:v>
      </x:c>
      <x:c r="T26" s="28" t="str">
        <x:v>DS-4b0428e4c361</x:v>
      </x:c>
      <x:c r="U26" s="28" t="str">
        <x:v>CA-0106</x:v>
      </x:c>
      <x:c r="V26" s="28" t="str"/>
      <x:c r="W26" t="n">
        <x:f>IF(COUNTIF($T$5:T26,T26)=1,1,0)</x:f>
        <x:v>1</x:v>
      </x:c>
    </x:row>
    <x:row r="27" ht="94" customHeight="1">
      <x:c r="A27" s="28" t="str">
        <x:v>New Westminster</x:v>
      </x:c>
      <x:c r="B27" s="28" t="str">
        <x:v>BC</x:v>
      </x:c>
      <x:c r="C27" s="28" t="str">
        <x:v>Dog parks</x:v>
      </x:c>
      <x:c r="D27" s="28" t="str">
        <x:v>Parks and recreation</x:v>
      </x:c>
      <x:c r="E27" s="28" t="str">
        <x:v>D</x:v>
      </x:c>
      <x:c r="F27" s="28" t="str">
        <x:v>Unconfirmed: CSV / GeoJSON / SHP target formats</x:v>
      </x:c>
      <x:c r="G27" s="28" t="str">
        <x:v>Municipal dataset</x:v>
      </x:c>
      <x:c r="H27" s="28" t="str">
        <x:v>City of New Westminster</x:v>
      </x:c>
      <x:c r="I27" s="28" t="str">
        <x:v>ArcGIS Hub Download / service API</x:v>
      </x:c>
      <x:c r="J27" s="28" t="str"/>
      <x:c r="K27" s="28" t="str"/>
      <x:c r="L27" s="28" t="str">
        <x:v>https://opendata.newwestcity.ca/datasets/1cc590f7ab364fe7a109f557d8efbb9d_0/explore</x:v>
      </x:c>
      <x:c r="M27" s="28" t="str">
        <x:v>See dataset licence</x:v>
      </x:c>
      <x:c r="N27" s="28" t="str">
        <x:v>See resource metadata</x:v>
      </x:c>
      <x:c r="O27" s="28" t="str">
        <x:v>Link / metadata located; payload not downloaded</x:v>
      </x:c>
      <x:c r="P27" s="28" t="str">
        <x:v>Specific dataset lead; per-resource export formats need verification</x:v>
      </x:c>
      <x:c r="Q27" s="28" t="str">
        <x:v> Use GeoJSON/SHP to retain geometry; inspect layer export options.</x:v>
      </x:c>
      <x:c r="R27" s="28" t="str">
        <x:v>https://www150.statcan.gc.ca/n1/pub/21-26-0002/2021001/meta-eng.htm</x:v>
      </x:c>
      <x:c r="S27" s="28" t="str">
        <x:v>2026-10-07</x:v>
      </x:c>
      <x:c r="T27" s="28" t="str">
        <x:v>DS-5787f4ede68c</x:v>
      </x:c>
      <x:c r="U27" s="28" t="str">
        <x:v>CA-0037</x:v>
      </x:c>
      <x:c r="V27" s="28" t="str">
        <x:v>https://www.arcgis.com/sharing/rest/content/items/1cc590f7ab364fe7a109f557d8efbb9d?f=pjson</x:v>
      </x:c>
      <x:c r="W27" t="n">
        <x:f>IF(COUNTIF($T$5:T27,T27)=1,1,0)</x:f>
        <x:v>1</x:v>
      </x:c>
    </x:row>
    <x:row r="28" ht="94" customHeight="1">
      <x:c r="A28" s="28" t="str">
        <x:v>North Vancouver (District)</x:v>
      </x:c>
      <x:c r="B28" s="28" t="str">
        <x:v>BC</x:v>
      </x:c>
      <x:c r="C28" s="28" t="str">
        <x:v>Parks</x:v>
      </x:c>
      <x:c r="D28" s="28" t="str">
        <x:v>Parks</x:v>
      </x:c>
      <x:c r="E28" s="28" t="str">
        <x:v>D</x:v>
      </x:c>
      <x:c r="F28" s="28" t="str">
        <x:v>SHP (ZIP)</x:v>
      </x:c>
      <x:c r="G28" s="28" t="str">
        <x:v>Municipal dataset</x:v>
      </x:c>
      <x:c r="H28" s="28" t="str">
        <x:v>District of North Vancouver</x:v>
      </x:c>
      <x:c r="I28" s="28" t="str">
        <x:v>Direct ZIP from government source manifest</x:v>
      </x:c>
      <x:c r="J28" s="28" t="str">
        <x:v>https://www.geoweb.dnv.org/Products/Data/SHP/PrkPark_shp.zip</x:v>
      </x:c>
      <x:c r="K28" s="28" t="str"/>
      <x:c r="L28" s="28" t="str">
        <x:v>https://www.geoweb.dnv.org/data/#</x:v>
      </x:c>
      <x:c r="M28" s="28" t="str">
        <x:v>Open Government Licence - North Vancouver 2.0</x:v>
      </x:c>
      <x:c r="N28" s="28" t="str">
        <x:v>See resource metadata</x:v>
      </x:c>
      <x:c r="O28" s="28" t="str">
        <x:v>Link / metadata located; payload not downloaded</x:v>
      </x:c>
      <x:c r="P28" s="28" t="str">
        <x:v>Government source lists a machine-readable file; current download not tested</x:v>
      </x:c>
      <x:c r="Q28" s="28" t="str">
        <x:v>Historical government source manifest. The ZIP endpoint was not fetched.</x:v>
      </x:c>
      <x:c r="R28" s="28" t="str">
        <x:v>https://www150.statcan.gc.ca/n1/pub/21-26-0002/2021001/meta-eng.htm</x:v>
      </x:c>
      <x:c r="S28" s="28" t="str">
        <x:v>2026-10-07</x:v>
      </x:c>
      <x:c r="T28" s="28" t="str">
        <x:v>DS-c01120d9315b</x:v>
      </x:c>
      <x:c r="U28" s="28" t="str">
        <x:v>CA-0101</x:v>
      </x:c>
      <x:c r="V28" s="28" t="str"/>
      <x:c r="W28" t="n">
        <x:f>IF(COUNTIF($T$5:T28,T28)=1,1,0)</x:f>
        <x:v>1</x:v>
      </x:c>
    </x:row>
    <x:row r="29" ht="94" customHeight="1">
      <x:c r="A29" s="28" t="str">
        <x:v>Richmond</x:v>
      </x:c>
      <x:c r="B29" s="28" t="str">
        <x:v>BC</x:v>
      </x:c>
      <x:c r="C29" s="28" t="str">
        <x:v>TransLink regional transit schedule</x:v>
      </x:c>
      <x:c r="D29" s="28" t="str">
        <x:v>Transport</x:v>
      </x:c>
      <x:c r="E29" s="28" t="str">
        <x:v>B</x:v>
      </x:c>
      <x:c r="F29" s="28" t="str">
        <x:v>GTFS ZIP (CSV text tables)</x:v>
      </x:c>
      <x:c r="G29" s="28" t="str">
        <x:v>Regional dataset; city filter required</x:v>
      </x:c>
      <x:c r="H29" s="28" t="str">
        <x:v>TransLink</x:v>
      </x:c>
      <x:c r="I29" s="28" t="str">
        <x:v>Operator GTFS download page</x:v>
      </x:c>
      <x:c r="J29" s="28" t="str"/>
      <x:c r="K29" s="28" t="str"/>
      <x:c r="L29" s="28" t="str">
        <x:v>https://www.translink.ca/about-us/doing-business-with-translink/app-developer-resources/gtfs</x:v>
      </x:c>
      <x:c r="M29" s="28" t="str">
        <x:v>TransLink developer / data terms</x:v>
      </x:c>
      <x:c r="N29" s="28" t="str">
        <x:v>See resource metadata</x:v>
      </x:c>
      <x:c r="O29" s="28" t="str">
        <x:v>Link / metadata located; payload not downloaded</x:v>
      </x:c>
      <x:c r="P29" s="28" t="str">
        <x:v>Publisher / government metadata documents the listed formats</x:v>
      </x:c>
      <x:c r="Q29" s="28" t="str">
        <x:v>Regional Metro Vancouver transit data; select Richmond stops/routes. Static-feed download not tested. Realtime APIs are separate and require registration.</x:v>
      </x:c>
      <x:c r="R29" s="28" t="str">
        <x:v>https://www.translink.ca/about-us/doing-business-with-translink/app-developer-resources/gtfs</x:v>
      </x:c>
      <x:c r="S29" s="28" t="str">
        <x:v>2026-10-07</x:v>
      </x:c>
      <x:c r="T29" s="28" t="str">
        <x:v>DS-331bd4809151</x:v>
      </x:c>
      <x:c r="U29" s="28" t="str">
        <x:v>CA-0107</x:v>
      </x:c>
      <x:c r="V29" s="28" t="str"/>
      <x:c r="W29" t="n">
        <x:f>IF(COUNTIF($T$5:T29,T29)=1,1,0)</x:f>
        <x:v>1</x:v>
      </x:c>
    </x:row>
    <x:row r="30" ht="94" customHeight="1">
      <x:c r="A30" s="28" t="str">
        <x:v>Saanich</x:v>
      </x:c>
      <x:c r="B30" s="28" t="str">
        <x:v>BC</x:v>
      </x:c>
      <x:c r="C30" s="28" t="str">
        <x:v>Parks</x:v>
      </x:c>
      <x:c r="D30" s="28" t="str">
        <x:v>Parks</x:v>
      </x:c>
      <x:c r="E30" s="28" t="str">
        <x:v>D</x:v>
      </x:c>
      <x:c r="F30" s="28" t="str">
        <x:v>Unconfirmed: CSV / GeoJSON / SHP target formats</x:v>
      </x:c>
      <x:c r="G30" s="28" t="str">
        <x:v>Municipal dataset</x:v>
      </x:c>
      <x:c r="H30" s="28" t="str">
        <x:v>District of Saanich</x:v>
      </x:c>
      <x:c r="I30" s="28" t="str">
        <x:v>ArcGIS Hub Download / service API</x:v>
      </x:c>
      <x:c r="J30" s="28" t="str"/>
      <x:c r="K30" s="28" t="str"/>
      <x:c r="L30" s="28" t="str">
        <x:v>https://opendata-saanich.hub.arcgis.com/datasets/102b6f43ebb743948ad3faec19d15c29_0/explore</x:v>
      </x:c>
      <x:c r="M30" s="28" t="str">
        <x:v>See dataset licence</x:v>
      </x:c>
      <x:c r="N30" s="28" t="str">
        <x:v>See resource metadata</x:v>
      </x:c>
      <x:c r="O30" s="28" t="str">
        <x:v>Link / metadata located; payload not downloaded</x:v>
      </x:c>
      <x:c r="P30" s="28" t="str">
        <x:v>Specific dataset lead; per-resource export formats need verification</x:v>
      </x:c>
      <x:c r="Q30" s="28" t="str">
        <x:v> Use GeoJSON/SHP to retain geometry; inspect layer export options.</x:v>
      </x:c>
      <x:c r="R30" s="28" t="str">
        <x:v>https://www150.statcan.gc.ca/n1/pub/21-26-0002/2021001/meta-eng.htm</x:v>
      </x:c>
      <x:c r="S30" s="28" t="str">
        <x:v>2026-10-07</x:v>
      </x:c>
      <x:c r="T30" s="28" t="str">
        <x:v>DS-c0b6cdfcc7a7</x:v>
      </x:c>
      <x:c r="U30" s="28" t="str">
        <x:v>CA-0097</x:v>
      </x:c>
      <x:c r="V30" s="28" t="str">
        <x:v>https://www.arcgis.com/sharing/rest/content/items/102b6f43ebb743948ad3faec19d15c29?f=pjson</x:v>
      </x:c>
      <x:c r="W30" t="n">
        <x:f>IF(COUNTIF($T$5:T30,T30)=1,1,0)</x:f>
        <x:v>1</x:v>
      </x:c>
    </x:row>
    <x:row r="31" ht="94" customHeight="1">
      <x:c r="A31" s="28" t="str">
        <x:v>Saanich</x:v>
      </x:c>
      <x:c r="B31" s="28" t="str">
        <x:v>BC</x:v>
      </x:c>
      <x:c r="C31" s="28" t="str">
        <x:v>Trails</x:v>
      </x:c>
      <x:c r="D31" s="28" t="str">
        <x:v>Transport</x:v>
      </x:c>
      <x:c r="E31" s="28" t="str">
        <x:v>D</x:v>
      </x:c>
      <x:c r="F31" s="28" t="str">
        <x:v>Unconfirmed: CSV / GeoJSON / SHP target formats</x:v>
      </x:c>
      <x:c r="G31" s="28" t="str">
        <x:v>Municipal dataset</x:v>
      </x:c>
      <x:c r="H31" s="28" t="str">
        <x:v>District of Saanich</x:v>
      </x:c>
      <x:c r="I31" s="28" t="str">
        <x:v>ArcGIS Hub Download / service API</x:v>
      </x:c>
      <x:c r="J31" s="28" t="str"/>
      <x:c r="K31" s="28" t="str"/>
      <x:c r="L31" s="28" t="str">
        <x:v>https://opendata-saanich.hub.arcgis.com/datasets/9f92279891a3447d9f287939e2890d80_0/explore</x:v>
      </x:c>
      <x:c r="M31" s="28" t="str">
        <x:v>See dataset licence</x:v>
      </x:c>
      <x:c r="N31" s="28" t="str">
        <x:v>See resource metadata</x:v>
      </x:c>
      <x:c r="O31" s="28" t="str">
        <x:v>Link / metadata located; payload not downloaded</x:v>
      </x:c>
      <x:c r="P31" s="28" t="str">
        <x:v>Specific dataset lead; per-resource export formats need verification</x:v>
      </x:c>
      <x:c r="Q31" s="28" t="str">
        <x:v> Use GeoJSON/SHP to retain geometry; inspect layer export options.</x:v>
      </x:c>
      <x:c r="R31" s="28" t="str">
        <x:v>https://www150.statcan.gc.ca/n1/pub/21-26-0002/2021001/meta-eng.htm</x:v>
      </x:c>
      <x:c r="S31" s="28" t="str">
        <x:v>2026-10-07</x:v>
      </x:c>
      <x:c r="T31" s="28" t="str">
        <x:v>DS-c950fe5ba13f</x:v>
      </x:c>
      <x:c r="U31" s="28" t="str">
        <x:v>CA-0098</x:v>
      </x:c>
      <x:c r="V31" s="28" t="str">
        <x:v>https://www.arcgis.com/sharing/rest/content/items/9f92279891a3447d9f287939e2890d80?f=pjson</x:v>
      </x:c>
      <x:c r="W31" t="n">
        <x:f>IF(COUNTIF($T$5:T31,T31)=1,1,0)</x:f>
        <x:v>1</x:v>
      </x:c>
    </x:row>
    <x:row r="32" ht="94" customHeight="1">
      <x:c r="A32" s="28" t="str">
        <x:v>Surrey</x:v>
      </x:c>
      <x:c r="B32" s="28" t="str">
        <x:v>BC</x:v>
      </x:c>
      <x:c r="C32" s="28" t="str">
        <x:v>Parks</x:v>
      </x:c>
      <x:c r="D32" s="28" t="str">
        <x:v>Parks and places</x:v>
      </x:c>
      <x:c r="E32" s="28" t="str">
        <x:v>D</x:v>
      </x:c>
      <x:c r="F32" s="28" t="str">
        <x:v>SHP listed by source; CSV / JSON unconfirmed</x:v>
      </x:c>
      <x:c r="G32" s="28" t="str">
        <x:v>Municipal dataset</x:v>
      </x:c>
      <x:c r="H32" s="28" t="str">
        <x:v>City of Surrey</x:v>
      </x:c>
      <x:c r="I32" s="28" t="str">
        <x:v>CKAN resource downloads</x:v>
      </x:c>
      <x:c r="J32" s="28" t="str"/>
      <x:c r="K32" s="28" t="str">
        <x:v>https://data.surrey.ca/api/3/action/package_show?id=parks</x:v>
      </x:c>
      <x:c r="L32" s="28" t="str">
        <x:v>https://data.surrey.ca/dataset/parks</x:v>
      </x:c>
      <x:c r="M32" s="28" t="str">
        <x:v>Open Government Licence - Surrey 2.0</x:v>
      </x:c>
      <x:c r="N32" s="28" t="str">
        <x:v>See resource metadata</x:v>
      </x:c>
      <x:c r="O32" s="28" t="str">
        <x:v>Link / metadata located; payload not downloaded</x:v>
      </x:c>
      <x:c r="P32" s="28" t="str">
        <x:v>Specific dataset lead; per-resource export formats need verification</x:v>
      </x:c>
      <x:c r="Q32" s="28" t="str"/>
      <x:c r="R32" s="28" t="str">
        <x:v>https://www150.statcan.gc.ca/n1/pub/21-26-0002/2021001/meta-eng.htm</x:v>
      </x:c>
      <x:c r="S32" s="28" t="str">
        <x:v>2026-10-07</x:v>
      </x:c>
      <x:c r="T32" s="28" t="str">
        <x:v>DS-26cc5c5205b3</x:v>
      </x:c>
      <x:c r="U32" s="28" t="str">
        <x:v>CA-0087</x:v>
      </x:c>
      <x:c r="V32" s="28" t="str">
        <x:v>https://data.surrey.ca/api/3/action/package_show?id=parks</x:v>
      </x:c>
      <x:c r="W32" t="n">
        <x:f>IF(COUNTIF($T$5:T32,T32)=1,1,0)</x:f>
        <x:v>1</x:v>
      </x:c>
    </x:row>
    <x:row r="33" ht="94" customHeight="1">
      <x:c r="A33" s="28" t="str">
        <x:v>Surrey</x:v>
      </x:c>
      <x:c r="B33" s="28" t="str">
        <x:v>BC</x:v>
      </x:c>
      <x:c r="C33" s="28" t="str">
        <x:v>Places of interest</x:v>
      </x:c>
      <x:c r="D33" s="28" t="str">
        <x:v>Parks and places</x:v>
      </x:c>
      <x:c r="E33" s="28" t="str">
        <x:v>D</x:v>
      </x:c>
      <x:c r="F33" s="28" t="str">
        <x:v>SHP listed by source; CSV / JSON unconfirmed</x:v>
      </x:c>
      <x:c r="G33" s="28" t="str">
        <x:v>Municipal dataset</x:v>
      </x:c>
      <x:c r="H33" s="28" t="str">
        <x:v>City of Surrey</x:v>
      </x:c>
      <x:c r="I33" s="28" t="str">
        <x:v>CKAN resource downloads</x:v>
      </x:c>
      <x:c r="J33" s="28" t="str"/>
      <x:c r="K33" s="28" t="str">
        <x:v>https://data.surrey.ca/api/3/action/package_show?id=places-of-interest</x:v>
      </x:c>
      <x:c r="L33" s="28" t="str">
        <x:v>https://data.surrey.ca/dataset/places-of-interest</x:v>
      </x:c>
      <x:c r="M33" s="28" t="str">
        <x:v>Open Government Licence - Surrey 2.0</x:v>
      </x:c>
      <x:c r="N33" s="28" t="str">
        <x:v>See resource metadata</x:v>
      </x:c>
      <x:c r="O33" s="28" t="str">
        <x:v>Link / metadata located; payload not downloaded</x:v>
      </x:c>
      <x:c r="P33" s="28" t="str">
        <x:v>Specific dataset lead; per-resource export formats need verification</x:v>
      </x:c>
      <x:c r="Q33" s="28" t="str"/>
      <x:c r="R33" s="28" t="str">
        <x:v>https://www150.statcan.gc.ca/n1/pub/21-26-0002/2021001/meta-eng.htm</x:v>
      </x:c>
      <x:c r="S33" s="28" t="str">
        <x:v>2026-10-07</x:v>
      </x:c>
      <x:c r="T33" s="28" t="str">
        <x:v>DS-3211b924cb42</x:v>
      </x:c>
      <x:c r="U33" s="28" t="str">
        <x:v>CA-0088</x:v>
      </x:c>
      <x:c r="V33" s="28" t="str">
        <x:v>https://data.surrey.ca/api/3/action/package_show?id=places-of-interest</x:v>
      </x:c>
      <x:c r="W33" t="n">
        <x:f>IF(COUNTIF($T$5:T33,T33)=1,1,0)</x:f>
        <x:v>1</x:v>
      </x:c>
    </x:row>
    <x:row r="34" ht="94" customHeight="1">
      <x:c r="A34" s="28" t="str">
        <x:v>Vancouver</x:v>
      </x:c>
      <x:c r="B34" s="28" t="str">
        <x:v>BC</x:v>
      </x:c>
      <x:c r="C34" s="28" t="str">
        <x:v>Business licences</x:v>
      </x:c>
      <x:c r="D34" s="28" t="str">
        <x:v>Business</x:v>
      </x:c>
      <x:c r="E34" s="28" t="str">
        <x:v>C</x:v>
      </x:c>
      <x:c r="F34" s="28" t="str">
        <x:v>CSV; JSON; GeoJSON (spatial datasets)</x:v>
      </x:c>
      <x:c r="G34" s="28" t="str">
        <x:v>Municipal dataset</x:v>
      </x:c>
      <x:c r="H34" s="28" t="str">
        <x:v>City of Vancouver</x:v>
      </x:c>
      <x:c r="I34" s="28" t="str">
        <x:v>Opendatasoft export / Explore API</x:v>
      </x:c>
      <x:c r="J34" s="28" t="str">
        <x:v>https://opendata.vancouver.ca/api/explore/v2.1/catalog/datasets/business-licences/exports/csv?lang=en&amp;timezone=UTC&amp;use_labels=false&amp;delimiter=%2C</x:v>
      </x:c>
      <x:c r="K34" s="28" t="str">
        <x:v>https://opendata.vancouver.ca/api/explore/v2.1/catalog/datasets/business-licences/records</x:v>
      </x:c>
      <x:c r="L34" s="28" t="str">
        <x:v>https://opendata.vancouver.ca/explore/dataset/business-licences/</x:v>
      </x:c>
      <x:c r="M34" s="28" t="str">
        <x:v>See dataset licence</x:v>
      </x:c>
      <x:c r="N34" s="28" t="str">
        <x:v>See resource metadata</x:v>
      </x:c>
      <x:c r="O34" s="28" t="str">
        <x:v>Derived URL; not fetched</x:v>
      </x:c>
      <x:c r="P34" s="28" t="str">
        <x:v>Dataset located; endpoint constructed from platform or live service schema</x:v>
      </x:c>
      <x:c r="Q34" s="28" t="str">
        <x:v>Old dataset pages may redirect to /explore/assets/. Standard API route constructed; payload not fetched.</x:v>
      </x:c>
      <x:c r="R34" s="28" t="str">
        <x:v>https://opendata.vancouver.ca/explore/dataset/business-licences/</x:v>
      </x:c>
      <x:c r="S34" s="28" t="str">
        <x:v>2026-10-07</x:v>
      </x:c>
      <x:c r="T34" s="28" t="str">
        <x:v>DS-ec4b91c5e091</x:v>
      </x:c>
      <x:c r="U34" s="28" t="str">
        <x:v>CA-0001</x:v>
      </x:c>
      <x:c r="V34" s="28" t="str"/>
      <x:c r="W34" t="n">
        <x:f>IF(COUNTIF($T$5:T34,T34)=1,1,0)</x:f>
        <x:v>1</x:v>
      </x:c>
    </x:row>
    <x:row r="35" ht="94" customHeight="1">
      <x:c r="A35" s="28" t="str">
        <x:v>Vancouver</x:v>
      </x:c>
      <x:c r="B35" s="28" t="str">
        <x:v>BC</x:v>
      </x:c>
      <x:c r="C35" s="28" t="str">
        <x:v>Issued building permits</x:v>
      </x:c>
      <x:c r="D35" s="28" t="str">
        <x:v>Construction</x:v>
      </x:c>
      <x:c r="E35" s="28" t="str">
        <x:v>C</x:v>
      </x:c>
      <x:c r="F35" s="28" t="str">
        <x:v>CSV; JSON; GeoJSON (spatial datasets)</x:v>
      </x:c>
      <x:c r="G35" s="28" t="str">
        <x:v>Municipal dataset</x:v>
      </x:c>
      <x:c r="H35" s="28" t="str">
        <x:v>City of Vancouver</x:v>
      </x:c>
      <x:c r="I35" s="28" t="str">
        <x:v>Opendatasoft export / Explore API</x:v>
      </x:c>
      <x:c r="J35" s="28" t="str">
        <x:v>https://opendata.vancouver.ca/api/explore/v2.1/catalog/datasets/issued-building-permits/exports/csv?lang=en&amp;timezone=UTC&amp;use_labels=false&amp;delimiter=%2C</x:v>
      </x:c>
      <x:c r="K35" s="28" t="str">
        <x:v>https://opendata.vancouver.ca/api/explore/v2.1/catalog/datasets/issued-building-permits/records</x:v>
      </x:c>
      <x:c r="L35" s="28" t="str">
        <x:v>https://opendata.vancouver.ca/explore/dataset/issued-building-permits/</x:v>
      </x:c>
      <x:c r="M35" s="28" t="str">
        <x:v>See dataset licence</x:v>
      </x:c>
      <x:c r="N35" s="28" t="str">
        <x:v>See resource metadata</x:v>
      </x:c>
      <x:c r="O35" s="28" t="str">
        <x:v>Derived URL; not fetched</x:v>
      </x:c>
      <x:c r="P35" s="28" t="str">
        <x:v>Dataset located; endpoint constructed from platform or live service schema</x:v>
      </x:c>
      <x:c r="Q35" s="28" t="str">
        <x:v>Old dataset pages may redirect to /explore/assets/. Standard API route constructed; payload not fetched.</x:v>
      </x:c>
      <x:c r="R35" s="28" t="str">
        <x:v>https://opendata.vancouver.ca/explore/dataset/issued-building-permits/</x:v>
      </x:c>
      <x:c r="S35" s="28" t="str">
        <x:v>2026-10-07</x:v>
      </x:c>
      <x:c r="T35" s="28" t="str">
        <x:v>DS-64fe804e657f</x:v>
      </x:c>
      <x:c r="U35" s="28" t="str">
        <x:v>CA-0002</x:v>
      </x:c>
      <x:c r="V35" s="28" t="str"/>
      <x:c r="W35" t="n">
        <x:f>IF(COUNTIF($T$5:T35,T35)=1,1,0)</x:f>
        <x:v>1</x:v>
      </x:c>
    </x:row>
    <x:row r="36" ht="94" customHeight="1">
      <x:c r="A36" s="28" t="str">
        <x:v>Vancouver</x:v>
      </x:c>
      <x:c r="B36" s="28" t="str">
        <x:v>BC</x:v>
      </x:c>
      <x:c r="C36" s="28" t="str">
        <x:v>Libraries</x:v>
      </x:c>
      <x:c r="D36" s="28" t="str">
        <x:v>Public facilities</x:v>
      </x:c>
      <x:c r="E36" s="28" t="str">
        <x:v>C</x:v>
      </x:c>
      <x:c r="F36" s="28" t="str">
        <x:v>CSV; JSON; GeoJSON (spatial datasets)</x:v>
      </x:c>
      <x:c r="G36" s="28" t="str">
        <x:v>Municipal dataset</x:v>
      </x:c>
      <x:c r="H36" s="28" t="str">
        <x:v>City of Vancouver</x:v>
      </x:c>
      <x:c r="I36" s="28" t="str">
        <x:v>Opendatasoft export / Explore API</x:v>
      </x:c>
      <x:c r="J36" s="28" t="str">
        <x:v>https://opendata.vancouver.ca/api/explore/v2.1/catalog/datasets/libraries/exports/csv?lang=en&amp;timezone=UTC&amp;use_labels=false&amp;delimiter=%2C</x:v>
      </x:c>
      <x:c r="K36" s="28" t="str">
        <x:v>https://opendata.vancouver.ca/api/explore/v2.1/catalog/datasets/libraries/records</x:v>
      </x:c>
      <x:c r="L36" s="28" t="str">
        <x:v>https://opendata.vancouver.ca/explore/dataset/libraries/</x:v>
      </x:c>
      <x:c r="M36" s="28" t="str">
        <x:v>See dataset licence</x:v>
      </x:c>
      <x:c r="N36" s="28" t="str">
        <x:v>See resource metadata</x:v>
      </x:c>
      <x:c r="O36" s="28" t="str">
        <x:v>Derived URL; not fetched</x:v>
      </x:c>
      <x:c r="P36" s="28" t="str">
        <x:v>Dataset located; endpoint constructed from platform or live service schema</x:v>
      </x:c>
      <x:c r="Q36" s="28" t="str">
        <x:v>Old dataset pages may redirect to /explore/assets/. Standard API route constructed; payload not fetched.</x:v>
      </x:c>
      <x:c r="R36" s="28" t="str">
        <x:v>https://opendata.vancouver.ca/explore/dataset/libraries/</x:v>
      </x:c>
      <x:c r="S36" s="28" t="str">
        <x:v>2026-10-07</x:v>
      </x:c>
      <x:c r="T36" s="28" t="str">
        <x:v>DS-b47ede7de2e0</x:v>
      </x:c>
      <x:c r="U36" s="28" t="str">
        <x:v>CA-0005</x:v>
      </x:c>
      <x:c r="V36" s="28" t="str"/>
      <x:c r="W36" t="n">
        <x:f>IF(COUNTIF($T$5:T36,T36)=1,1,0)</x:f>
        <x:v>1</x:v>
      </x:c>
    </x:row>
    <x:row r="37" ht="94" customHeight="1">
      <x:c r="A37" s="28" t="str">
        <x:v>Vancouver</x:v>
      </x:c>
      <x:c r="B37" s="28" t="str">
        <x:v>BC</x:v>
      </x:c>
      <x:c r="C37" s="28" t="str">
        <x:v>Parks</x:v>
      </x:c>
      <x:c r="D37" s="28" t="str">
        <x:v>Parks and recreation</x:v>
      </x:c>
      <x:c r="E37" s="28" t="str">
        <x:v>C</x:v>
      </x:c>
      <x:c r="F37" s="28" t="str">
        <x:v>CSV; JSON; GeoJSON (spatial datasets)</x:v>
      </x:c>
      <x:c r="G37" s="28" t="str">
        <x:v>Municipal dataset</x:v>
      </x:c>
      <x:c r="H37" s="28" t="str">
        <x:v>City of Vancouver</x:v>
      </x:c>
      <x:c r="I37" s="28" t="str">
        <x:v>Opendatasoft export / Explore API</x:v>
      </x:c>
      <x:c r="J37" s="28" t="str">
        <x:v>https://opendata.vancouver.ca/api/explore/v2.1/catalog/datasets/parks/exports/csv?lang=en&amp;timezone=UTC&amp;use_labels=false&amp;delimiter=%2C</x:v>
      </x:c>
      <x:c r="K37" s="28" t="str">
        <x:v>https://opendata.vancouver.ca/api/explore/v2.1/catalog/datasets/parks/records</x:v>
      </x:c>
      <x:c r="L37" s="28" t="str">
        <x:v>https://opendata.vancouver.ca/explore/dataset/parks/</x:v>
      </x:c>
      <x:c r="M37" s="28" t="str">
        <x:v>See dataset licence</x:v>
      </x:c>
      <x:c r="N37" s="28" t="str">
        <x:v>See resource metadata</x:v>
      </x:c>
      <x:c r="O37" s="28" t="str">
        <x:v>Derived URL; not fetched</x:v>
      </x:c>
      <x:c r="P37" s="28" t="str">
        <x:v>Dataset located; endpoint constructed from platform or live service schema</x:v>
      </x:c>
      <x:c r="Q37" s="28" t="str">
        <x:v>Old dataset pages may redirect to /explore/assets/. Standard API route constructed; payload not fetched.</x:v>
      </x:c>
      <x:c r="R37" s="28" t="str">
        <x:v>https://opendata.vancouver.ca/explore/dataset/parks/</x:v>
      </x:c>
      <x:c r="S37" s="28" t="str">
        <x:v>2026-10-07</x:v>
      </x:c>
      <x:c r="T37" s="28" t="str">
        <x:v>DS-e574ed3e190f</x:v>
      </x:c>
      <x:c r="U37" s="28" t="str">
        <x:v>CA-0004</x:v>
      </x:c>
      <x:c r="V37" s="28" t="str"/>
      <x:c r="W37" t="n">
        <x:f>IF(COUNTIF($T$5:T37,T37)=1,1,0)</x:f>
        <x:v>1</x:v>
      </x:c>
    </x:row>
    <x:row r="38" ht="94" customHeight="1">
      <x:c r="A38" s="28" t="str">
        <x:v>Vancouver</x:v>
      </x:c>
      <x:c r="B38" s="28" t="str">
        <x:v>BC</x:v>
      </x:c>
      <x:c r="C38" s="28" t="str">
        <x:v>Property parcel polygons</x:v>
      </x:c>
      <x:c r="D38" s="28" t="str">
        <x:v>Property</x:v>
      </x:c>
      <x:c r="E38" s="28" t="str">
        <x:v>C</x:v>
      </x:c>
      <x:c r="F38" s="28" t="str">
        <x:v>CSV; JSON; GeoJSON (spatial datasets)</x:v>
      </x:c>
      <x:c r="G38" s="28" t="str">
        <x:v>Municipal dataset</x:v>
      </x:c>
      <x:c r="H38" s="28" t="str">
        <x:v>City of Vancouver</x:v>
      </x:c>
      <x:c r="I38" s="28" t="str">
        <x:v>Opendatasoft export / Explore API</x:v>
      </x:c>
      <x:c r="J38" s="28" t="str">
        <x:v>https://opendata.vancouver.ca/api/explore/v2.1/catalog/datasets/property-parcel-polygons/exports/csv?lang=en&amp;timezone=UTC&amp;use_labels=false&amp;delimiter=%2C</x:v>
      </x:c>
      <x:c r="K38" s="28" t="str">
        <x:v>https://opendata.vancouver.ca/api/explore/v2.1/catalog/datasets/property-parcel-polygons/records</x:v>
      </x:c>
      <x:c r="L38" s="28" t="str">
        <x:v>https://opendata.vancouver.ca/explore/dataset/property-parcel-polygons/</x:v>
      </x:c>
      <x:c r="M38" s="28" t="str">
        <x:v>See dataset licence</x:v>
      </x:c>
      <x:c r="N38" s="28" t="str">
        <x:v>See resource metadata</x:v>
      </x:c>
      <x:c r="O38" s="28" t="str">
        <x:v>Derived URL; not fetched</x:v>
      </x:c>
      <x:c r="P38" s="28" t="str">
        <x:v>Dataset located; endpoint constructed from platform or live service schema</x:v>
      </x:c>
      <x:c r="Q38" s="28" t="str">
        <x:v>Old dataset pages may redirect to /explore/assets/. Standard API route constructed; payload not fetched.</x:v>
      </x:c>
      <x:c r="R38" s="28" t="str">
        <x:v>https://opendata.vancouver.ca/explore/dataset/property-parcel-polygons/</x:v>
      </x:c>
      <x:c r="S38" s="28" t="str">
        <x:v>2026-10-07</x:v>
      </x:c>
      <x:c r="T38" s="28" t="str">
        <x:v>DS-444e6c21260b</x:v>
      </x:c>
      <x:c r="U38" s="28" t="str">
        <x:v>CA-0006</x:v>
      </x:c>
      <x:c r="V38" s="28" t="str"/>
      <x:c r="W38" t="n">
        <x:f>IF(COUNTIF($T$5:T38,T38)=1,1,0)</x:f>
        <x:v>1</x:v>
      </x:c>
    </x:row>
    <x:row r="39" ht="94" customHeight="1">
      <x:c r="A39" s="28" t="str">
        <x:v>Vancouver</x:v>
      </x:c>
      <x:c r="B39" s="28" t="str">
        <x:v>BC</x:v>
      </x:c>
      <x:c r="C39" s="28" t="str">
        <x:v>Property tax report</x:v>
      </x:c>
      <x:c r="D39" s="28" t="str">
        <x:v>Property</x:v>
      </x:c>
      <x:c r="E39" s="28" t="str">
        <x:v>C</x:v>
      </x:c>
      <x:c r="F39" s="28" t="str">
        <x:v>CSV; JSON; GeoJSON (spatial datasets)</x:v>
      </x:c>
      <x:c r="G39" s="28" t="str">
        <x:v>Municipal dataset</x:v>
      </x:c>
      <x:c r="H39" s="28" t="str">
        <x:v>City of Vancouver</x:v>
      </x:c>
      <x:c r="I39" s="28" t="str">
        <x:v>Opendatasoft export / Explore API</x:v>
      </x:c>
      <x:c r="J39" s="28" t="str">
        <x:v>https://opendata.vancouver.ca/api/explore/v2.1/catalog/datasets/property-tax-report/exports/csv?lang=en&amp;timezone=UTC&amp;use_labels=false&amp;delimiter=%2C</x:v>
      </x:c>
      <x:c r="K39" s="28" t="str">
        <x:v>https://opendata.vancouver.ca/api/explore/v2.1/catalog/datasets/property-tax-report/records</x:v>
      </x:c>
      <x:c r="L39" s="28" t="str">
        <x:v>https://opendata.vancouver.ca/explore/dataset/property-tax-report/</x:v>
      </x:c>
      <x:c r="M39" s="28" t="str">
        <x:v>See dataset licence</x:v>
      </x:c>
      <x:c r="N39" s="28" t="str">
        <x:v>See resource metadata</x:v>
      </x:c>
      <x:c r="O39" s="28" t="str">
        <x:v>Derived URL; not fetched</x:v>
      </x:c>
      <x:c r="P39" s="28" t="str">
        <x:v>Dataset located; endpoint constructed from platform or live service schema</x:v>
      </x:c>
      <x:c r="Q39" s="28" t="str">
        <x:v>Old dataset pages may redirect to /explore/assets/. Standard API route constructed; payload not fetched.</x:v>
      </x:c>
      <x:c r="R39" s="28" t="str">
        <x:v>https://opendata.vancouver.ca/explore/dataset/property-tax-report/</x:v>
      </x:c>
      <x:c r="S39" s="28" t="str">
        <x:v>2026-10-07</x:v>
      </x:c>
      <x:c r="T39" s="28" t="str">
        <x:v>DS-99ddf8110cb3</x:v>
      </x:c>
      <x:c r="U39" s="28" t="str">
        <x:v>CA-0003</x:v>
      </x:c>
      <x:c r="V39" s="28" t="str"/>
      <x:c r="W39" t="n">
        <x:f>IF(COUNTIF($T$5:T39,T39)=1,1,0)</x:f>
        <x:v>1</x:v>
      </x:c>
    </x:row>
    <x:row r="40" ht="94" customHeight="1">
      <x:c r="A40" s="28" t="str">
        <x:v>Victoria</x:v>
      </x:c>
      <x:c r="B40" s="28" t="str">
        <x:v>BC</x:v>
      </x:c>
      <x:c r="C40" s="28" t="str">
        <x:v>Bike racks</x:v>
      </x:c>
      <x:c r="D40" s="28" t="str">
        <x:v>Transportation</x:v>
      </x:c>
      <x:c r="E40" s="28" t="str">
        <x:v>D</x:v>
      </x:c>
      <x:c r="F40" s="28" t="str">
        <x:v>Unconfirmed: CSV / GeoJSON / SHP target formats</x:v>
      </x:c>
      <x:c r="G40" s="28" t="str">
        <x:v>Municipal dataset</x:v>
      </x:c>
      <x:c r="H40" s="28" t="str">
        <x:v>City of Victoria</x:v>
      </x:c>
      <x:c r="I40" s="28" t="str">
        <x:v>ArcGIS Hub Download / service API</x:v>
      </x:c>
      <x:c r="J40" s="28" t="str"/>
      <x:c r="K40" s="28" t="str"/>
      <x:c r="L40" s="28" t="str">
        <x:v>https://opendata.victoria.ca/datasets/b9fcaf0487444970a41891e54bb1dfa1_0/explore</x:v>
      </x:c>
      <x:c r="M40" s="28" t="str">
        <x:v>See dataset licence</x:v>
      </x:c>
      <x:c r="N40" s="28" t="str">
        <x:v>See resource metadata</x:v>
      </x:c>
      <x:c r="O40" s="28" t="str">
        <x:v>Link / metadata located; payload not downloaded</x:v>
      </x:c>
      <x:c r="P40" s="28" t="str">
        <x:v>Specific dataset lead; per-resource export formats need verification</x:v>
      </x:c>
      <x:c r="Q40" s="28" t="str">
        <x:v> Use GeoJSON/SHP to retain geometry; inspect layer export options.</x:v>
      </x:c>
      <x:c r="R40" s="28" t="str">
        <x:v>https://www150.statcan.gc.ca/n1/pub/21-26-0002/2021001/meta-eng.htm</x:v>
      </x:c>
      <x:c r="S40" s="28" t="str">
        <x:v>2026-10-07</x:v>
      </x:c>
      <x:c r="T40" s="28" t="str">
        <x:v>DS-bf8c04b9cb3a</x:v>
      </x:c>
      <x:c r="U40" s="28" t="str">
        <x:v>CA-0035</x:v>
      </x:c>
      <x:c r="V40" s="28" t="str">
        <x:v>https://www.arcgis.com/sharing/rest/content/items/b9fcaf0487444970a41891e54bb1dfa1?f=pjson</x:v>
      </x:c>
      <x:c r="W40" t="n">
        <x:f>IF(COUNTIF($T$5:T40,T40)=1,1,0)</x:f>
        <x:v>1</x:v>
      </x:c>
    </x:row>
    <x:row r="41" ht="94" customHeight="1">
      <x:c r="A41" s="28" t="str">
        <x:v>Victoria</x:v>
      </x:c>
      <x:c r="B41" s="28" t="str">
        <x:v>BC</x:v>
      </x:c>
      <x:c r="C41" s="28" t="str">
        <x:v>City and neighbourhood facilities</x:v>
      </x:c>
      <x:c r="D41" s="28" t="str">
        <x:v>Public facilities</x:v>
      </x:c>
      <x:c r="E41" s="28" t="str">
        <x:v>D</x:v>
      </x:c>
      <x:c r="F41" s="28" t="str">
        <x:v>Unconfirmed: CSV / GeoJSON / SHP target formats</x:v>
      </x:c>
      <x:c r="G41" s="28" t="str">
        <x:v>Municipal dataset</x:v>
      </x:c>
      <x:c r="H41" s="28" t="str">
        <x:v>City of Victoria</x:v>
      </x:c>
      <x:c r="I41" s="28" t="str">
        <x:v>ArcGIS Hub Download / service API</x:v>
      </x:c>
      <x:c r="J41" s="28" t="str"/>
      <x:c r="K41" s="28" t="str"/>
      <x:c r="L41" s="28" t="str">
        <x:v>https://opendata.victoria.ca/datasets/36ce9ffd00124fd495bb6710b83451b5_7/explore</x:v>
      </x:c>
      <x:c r="M41" s="28" t="str">
        <x:v>See dataset licence</x:v>
      </x:c>
      <x:c r="N41" s="28" t="str">
        <x:v>See resource metadata</x:v>
      </x:c>
      <x:c r="O41" s="28" t="str">
        <x:v>Link / metadata located; payload not downloaded</x:v>
      </x:c>
      <x:c r="P41" s="28" t="str">
        <x:v>Specific dataset lead; per-resource export formats need verification</x:v>
      </x:c>
      <x:c r="Q41" s="28" t="str">
        <x:v> Use GeoJSON/SHP to retain geometry; inspect layer export options.</x:v>
      </x:c>
      <x:c r="R41" s="28" t="str">
        <x:v>https://www150.statcan.gc.ca/n1/pub/21-26-0002/2021001/meta-eng.htm</x:v>
      </x:c>
      <x:c r="S41" s="28" t="str">
        <x:v>2026-10-07</x:v>
      </x:c>
      <x:c r="T41" s="28" t="str">
        <x:v>DS-684e7cd1868a</x:v>
      </x:c>
      <x:c r="U41" s="28" t="str">
        <x:v>CA-0036</x:v>
      </x:c>
      <x:c r="V41" s="28" t="str">
        <x:v>https://www.arcgis.com/sharing/rest/content/items/36ce9ffd00124fd495bb6710b83451b5?f=pjson</x:v>
      </x:c>
      <x:c r="W41" t="n">
        <x:f>IF(COUNTIF($T$5:T41,T41)=1,1,0)</x:f>
        <x:v>1</x:v>
      </x:c>
    </x:row>
    <x:row r="42" ht="94" customHeight="1">
      <x:c r="A42" s="28" t="str">
        <x:v>Victoria</x:v>
      </x:c>
      <x:c r="B42" s="28" t="str">
        <x:v>BC</x:v>
      </x:c>
      <x:c r="C42" s="28" t="str">
        <x:v>Parks and open spaces</x:v>
      </x:c>
      <x:c r="D42" s="28" t="str">
        <x:v>Parks and recreation</x:v>
      </x:c>
      <x:c r="E42" s="28" t="str">
        <x:v>D</x:v>
      </x:c>
      <x:c r="F42" s="28" t="str">
        <x:v>Unconfirmed: CSV / GeoJSON / SHP target formats</x:v>
      </x:c>
      <x:c r="G42" s="28" t="str">
        <x:v>Municipal dataset</x:v>
      </x:c>
      <x:c r="H42" s="28" t="str">
        <x:v>City of Victoria</x:v>
      </x:c>
      <x:c r="I42" s="28" t="str">
        <x:v>ArcGIS Hub Download / service API</x:v>
      </x:c>
      <x:c r="J42" s="28" t="str"/>
      <x:c r="K42" s="28" t="str"/>
      <x:c r="L42" s="28" t="str">
        <x:v>https://opendata.victoria.ca/datasets/6aa80a4df66144cf839447040f519de4_50/explore</x:v>
      </x:c>
      <x:c r="M42" s="28" t="str">
        <x:v>See dataset licence</x:v>
      </x:c>
      <x:c r="N42" s="28" t="str">
        <x:v>See resource metadata</x:v>
      </x:c>
      <x:c r="O42" s="28" t="str">
        <x:v>Link / metadata located; payload not downloaded</x:v>
      </x:c>
      <x:c r="P42" s="28" t="str">
        <x:v>Specific dataset lead; per-resource export formats need verification</x:v>
      </x:c>
      <x:c r="Q42" s="28" t="str">
        <x:v> Use GeoJSON/SHP to retain geometry; inspect layer export options.</x:v>
      </x:c>
      <x:c r="R42" s="28" t="str">
        <x:v>https://www150.statcan.gc.ca/n1/pub/21-26-0002/2021001/meta-eng.htm</x:v>
      </x:c>
      <x:c r="S42" s="28" t="str">
        <x:v>2026-10-07</x:v>
      </x:c>
      <x:c r="T42" s="28" t="str">
        <x:v>DS-c83129be4363</x:v>
      </x:c>
      <x:c r="U42" s="28" t="str">
        <x:v>CA-0034</x:v>
      </x:c>
      <x:c r="V42" s="28" t="str">
        <x:v>https://www.arcgis.com/sharing/rest/content/items/6aa80a4df66144cf839447040f519de4?f=pjson</x:v>
      </x:c>
      <x:c r="W42" t="n">
        <x:f>IF(COUNTIF($T$5:T42,T42)=1,1,0)</x:f>
        <x:v>1</x:v>
      </x:c>
    </x:row>
    <x:row r="43" ht="94" customHeight="1">
      <x:c r="A43" s="28" t="str">
        <x:v>Winnipeg</x:v>
      </x:c>
      <x:c r="B43" s="28" t="str">
        <x:v>MB</x:v>
      </x:c>
      <x:c r="C43" s="28" t="str">
        <x:v>Addresses</x:v>
      </x:c>
      <x:c r="D43" s="28" t="str">
        <x:v>Addresses</x:v>
      </x:c>
      <x:c r="E43" s="28" t="str">
        <x:v>C</x:v>
      </x:c>
      <x:c r="F43" s="28" t="str">
        <x:v>CSV; JSON</x:v>
      </x:c>
      <x:c r="G43" s="28" t="str">
        <x:v>Municipal dataset</x:v>
      </x:c>
      <x:c r="H43" s="28" t="str">
        <x:v>City of Winnipeg</x:v>
      </x:c>
      <x:c r="I43" s="28" t="str">
        <x:v>Socrata export / SODA API</x:v>
      </x:c>
      <x:c r="J43" s="28" t="str">
        <x:v>https://data.winnipeg.ca/api/views/cam2-ii3u/rows.csv?accessType=DOWNLOAD</x:v>
      </x:c>
      <x:c r="K43" s="28" t="str">
        <x:v>https://data.winnipeg.ca/resource/cam2-ii3u.json</x:v>
      </x:c>
      <x:c r="L43" s="28" t="str">
        <x:v>https://data.winnipeg.ca/d/cam2-ii3u</x:v>
      </x:c>
      <x:c r="M43" s="28" t="str">
        <x:v>See dataset licence</x:v>
      </x:c>
      <x:c r="N43" s="28" t="str">
        <x:v>See resource metadata</x:v>
      </x:c>
      <x:c r="O43" s="28" t="str">
        <x:v>Derived URL; not fetched</x:v>
      </x:c>
      <x:c r="P43" s="28" t="str">
        <x:v>Dataset located; endpoint constructed from platform or live service schema</x:v>
      </x:c>
      <x:c r="Q43" s="28" t="str">
        <x:v> Export/API URLs use documented platform patterns; payload not fetched.</x:v>
      </x:c>
      <x:c r="R43" s="28" t="str">
        <x:v>https://data.winnipeg.ca/d/cam2-ii3u</x:v>
      </x:c>
      <x:c r="S43" s="28" t="str">
        <x:v>2026-10-07</x:v>
      </x:c>
      <x:c r="T43" s="28" t="str">
        <x:v>DS-7a0b9a1e92f3</x:v>
      </x:c>
      <x:c r="U43" s="28" t="str">
        <x:v>CA-0015</x:v>
      </x:c>
      <x:c r="V43" s="28" t="str"/>
      <x:c r="W43" t="n">
        <x:f>IF(COUNTIF($T$5:T43,T43)=1,1,0)</x:f>
        <x:v>1</x:v>
      </x:c>
    </x:row>
    <x:row r="44" ht="94" customHeight="1">
      <x:c r="A44" s="28" t="str">
        <x:v>Winnipeg</x:v>
      </x:c>
      <x:c r="B44" s="28" t="str">
        <x:v>MB</x:v>
      </x:c>
      <x:c r="C44" s="28" t="str">
        <x:v>Detailed building permit data</x:v>
      </x:c>
      <x:c r="D44" s="28" t="str">
        <x:v>Construction</x:v>
      </x:c>
      <x:c r="E44" s="28" t="str">
        <x:v>C</x:v>
      </x:c>
      <x:c r="F44" s="28" t="str">
        <x:v>CSV; JSON</x:v>
      </x:c>
      <x:c r="G44" s="28" t="str">
        <x:v>Municipal dataset</x:v>
      </x:c>
      <x:c r="H44" s="28" t="str">
        <x:v>City of Winnipeg</x:v>
      </x:c>
      <x:c r="I44" s="28" t="str">
        <x:v>Socrata export / SODA API</x:v>
      </x:c>
      <x:c r="J44" s="28" t="str">
        <x:v>https://data.winnipeg.ca/api/views/it4w-cpf4/rows.csv?accessType=DOWNLOAD</x:v>
      </x:c>
      <x:c r="K44" s="28" t="str">
        <x:v>https://data.winnipeg.ca/resource/it4w-cpf4.json</x:v>
      </x:c>
      <x:c r="L44" s="28" t="str">
        <x:v>https://data.winnipeg.ca/d/it4w-cpf4</x:v>
      </x:c>
      <x:c r="M44" s="28" t="str">
        <x:v>See dataset licence</x:v>
      </x:c>
      <x:c r="N44" s="28" t="str">
        <x:v>See resource metadata</x:v>
      </x:c>
      <x:c r="O44" s="28" t="str">
        <x:v>Derived URL; not fetched</x:v>
      </x:c>
      <x:c r="P44" s="28" t="str">
        <x:v>Dataset located; endpoint constructed from platform or live service schema</x:v>
      </x:c>
      <x:c r="Q44" s="28" t="str">
        <x:v> Export/API URLs use documented platform patterns; payload not fetched.</x:v>
      </x:c>
      <x:c r="R44" s="28" t="str">
        <x:v>https://data.winnipeg.ca/d/it4w-cpf4</x:v>
      </x:c>
      <x:c r="S44" s="28" t="str">
        <x:v>2026-10-07</x:v>
      </x:c>
      <x:c r="T44" s="28" t="str">
        <x:v>DS-2e39ad77df69</x:v>
      </x:c>
      <x:c r="U44" s="28" t="str">
        <x:v>CA-0013</x:v>
      </x:c>
      <x:c r="V44" s="28" t="str"/>
      <x:c r="W44" t="n">
        <x:f>IF(COUNTIF($T$5:T44,T44)=1,1,0)</x:f>
        <x:v>1</x:v>
      </x:c>
    </x:row>
    <x:row r="45" ht="94" customHeight="1">
      <x:c r="A45" s="28" t="str">
        <x:v>Winnipeg</x:v>
      </x:c>
      <x:c r="B45" s="28" t="str">
        <x:v>MB</x:v>
      </x:c>
      <x:c r="C45" s="28" t="str">
        <x:v>Estimated daily passenger activity</x:v>
      </x:c>
      <x:c r="D45" s="28" t="str">
        <x:v>Transportation</x:v>
      </x:c>
      <x:c r="E45" s="28" t="str">
        <x:v>C</x:v>
      </x:c>
      <x:c r="F45" s="28" t="str">
        <x:v>CSV; JSON</x:v>
      </x:c>
      <x:c r="G45" s="28" t="str">
        <x:v>Municipal dataset</x:v>
      </x:c>
      <x:c r="H45" s="28" t="str">
        <x:v>City of Winnipeg</x:v>
      </x:c>
      <x:c r="I45" s="28" t="str">
        <x:v>Socrata export / SODA API</x:v>
      </x:c>
      <x:c r="J45" s="28" t="str">
        <x:v>https://data.winnipeg.ca/api/views/bv6q-du26/rows.csv?accessType=DOWNLOAD</x:v>
      </x:c>
      <x:c r="K45" s="28" t="str">
        <x:v>https://data.winnipeg.ca/resource/bv6q-du26.json</x:v>
      </x:c>
      <x:c r="L45" s="28" t="str">
        <x:v>https://data.winnipeg.ca/d/bv6q-du26</x:v>
      </x:c>
      <x:c r="M45" s="28" t="str">
        <x:v>See dataset licence</x:v>
      </x:c>
      <x:c r="N45" s="28" t="str">
        <x:v>See resource metadata</x:v>
      </x:c>
      <x:c r="O45" s="28" t="str">
        <x:v>Derived URL; not fetched</x:v>
      </x:c>
      <x:c r="P45" s="28" t="str">
        <x:v>Dataset located; endpoint constructed from platform or live service schema</x:v>
      </x:c>
      <x:c r="Q45" s="28" t="str">
        <x:v> Export/API URLs use documented platform patterns; payload not fetched.</x:v>
      </x:c>
      <x:c r="R45" s="28" t="str">
        <x:v>https://data.winnipeg.ca/d/bv6q-du26</x:v>
      </x:c>
      <x:c r="S45" s="28" t="str">
        <x:v>2026-10-07</x:v>
      </x:c>
      <x:c r="T45" s="28" t="str">
        <x:v>DS-4c7c99291336</x:v>
      </x:c>
      <x:c r="U45" s="28" t="str">
        <x:v>CA-0014</x:v>
      </x:c>
      <x:c r="V45" s="28" t="str"/>
      <x:c r="W45" t="n">
        <x:f>IF(COUNTIF($T$5:T45,T45)=1,1,0)</x:f>
        <x:v>1</x:v>
      </x:c>
    </x:row>
    <x:row r="46" ht="94" customHeight="1">
      <x:c r="A46" s="28" t="str">
        <x:v>Winnipeg</x:v>
      </x:c>
      <x:c r="B46" s="28" t="str">
        <x:v>MB</x:v>
      </x:c>
      <x:c r="C46" s="28" t="str">
        <x:v>Posted speed limits (bylaw)</x:v>
      </x:c>
      <x:c r="D46" s="28" t="str">
        <x:v>Transportation</x:v>
      </x:c>
      <x:c r="E46" s="28" t="str">
        <x:v>C</x:v>
      </x:c>
      <x:c r="F46" s="28" t="str">
        <x:v>CSV; JSON</x:v>
      </x:c>
      <x:c r="G46" s="28" t="str">
        <x:v>Municipal dataset</x:v>
      </x:c>
      <x:c r="H46" s="28" t="str">
        <x:v>City of Winnipeg</x:v>
      </x:c>
      <x:c r="I46" s="28" t="str">
        <x:v>Socrata export / SODA API</x:v>
      </x:c>
      <x:c r="J46" s="28" t="str">
        <x:v>https://data.winnipeg.ca/api/views/iw6c-xymt/rows.csv?accessType=DOWNLOAD</x:v>
      </x:c>
      <x:c r="K46" s="28" t="str">
        <x:v>https://data.winnipeg.ca/resource/iw6c-xymt.json</x:v>
      </x:c>
      <x:c r="L46" s="28" t="str">
        <x:v>https://data.winnipeg.ca/d/iw6c-xymt</x:v>
      </x:c>
      <x:c r="M46" s="28" t="str">
        <x:v>See dataset licence</x:v>
      </x:c>
      <x:c r="N46" s="28" t="str">
        <x:v>See resource metadata</x:v>
      </x:c>
      <x:c r="O46" s="28" t="str">
        <x:v>Derived URL; not fetched</x:v>
      </x:c>
      <x:c r="P46" s="28" t="str">
        <x:v>Dataset located; endpoint constructed from platform or live service schema</x:v>
      </x:c>
      <x:c r="Q46" s="28" t="str">
        <x:v> Export/API URLs use documented platform patterns; payload not fetched.</x:v>
      </x:c>
      <x:c r="R46" s="28" t="str">
        <x:v>https://data.winnipeg.ca/d/iw6c-xymt</x:v>
      </x:c>
      <x:c r="S46" s="28" t="str">
        <x:v>2026-10-07</x:v>
      </x:c>
      <x:c r="T46" s="28" t="str">
        <x:v>DS-90257e2d56a6</x:v>
      </x:c>
      <x:c r="U46" s="28" t="str">
        <x:v>CA-0016</x:v>
      </x:c>
      <x:c r="V46" s="28" t="str"/>
      <x:c r="W46" t="n">
        <x:f>IF(COUNTIF($T$5:T46,T46)=1,1,0)</x:f>
        <x:v>1</x:v>
      </x:c>
    </x:row>
    <x:row r="47" ht="94" customHeight="1">
      <x:c r="A47" s="28" t="str">
        <x:v>Fredericton</x:v>
      </x:c>
      <x:c r="B47" s="28" t="str">
        <x:v>NB</x:v>
      </x:c>
      <x:c r="C47" s="28" t="str">
        <x:v>Pools and beaches</x:v>
      </x:c>
      <x:c r="D47" s="28" t="str">
        <x:v>Parks and recreation</x:v>
      </x:c>
      <x:c r="E47" s="28" t="str">
        <x:v>D</x:v>
      </x:c>
      <x:c r="F47" s="28" t="str">
        <x:v>Unconfirmed: CSV / GeoJSON / SHP target formats</x:v>
      </x:c>
      <x:c r="G47" s="28" t="str">
        <x:v>Municipal dataset</x:v>
      </x:c>
      <x:c r="H47" s="28" t="str">
        <x:v>City of Fredericton</x:v>
      </x:c>
      <x:c r="I47" s="28" t="str">
        <x:v>ArcGIS Hub Download / service API</x:v>
      </x:c>
      <x:c r="J47" s="28" t="str"/>
      <x:c r="K47" s="28" t="str"/>
      <x:c r="L47" s="28" t="str">
        <x:v>https://data-fredericton.opendata.arcgis.com/datasets/ee2d7a004a804b0f8254e017b2d5530a_0/explore</x:v>
      </x:c>
      <x:c r="M47" s="28" t="str">
        <x:v>See dataset licence</x:v>
      </x:c>
      <x:c r="N47" s="28" t="str">
        <x:v>See resource metadata</x:v>
      </x:c>
      <x:c r="O47" s="28" t="str">
        <x:v>Link / metadata located; payload not downloaded</x:v>
      </x:c>
      <x:c r="P47" s="28" t="str">
        <x:v>Specific dataset lead; per-resource export formats need verification</x:v>
      </x:c>
      <x:c r="Q47" s="28" t="str">
        <x:v> Use GeoJSON/SHP to retain geometry; inspect layer export options.</x:v>
      </x:c>
      <x:c r="R47" s="28" t="str">
        <x:v>https://www150.statcan.gc.ca/n1/pub/21-26-0002/2021001/meta-eng.htm</x:v>
      </x:c>
      <x:c r="S47" s="28" t="str">
        <x:v>2026-10-07</x:v>
      </x:c>
      <x:c r="T47" s="28" t="str">
        <x:v>DS-4316991caab1</x:v>
      </x:c>
      <x:c r="U47" s="28" t="str">
        <x:v>CA-0051</x:v>
      </x:c>
      <x:c r="V47" s="28" t="str">
        <x:v>https://www.arcgis.com/sharing/rest/content/items/ee2d7a004a804b0f8254e017b2d5530a?f=pjson</x:v>
      </x:c>
      <x:c r="W47" t="n">
        <x:f>IF(COUNTIF($T$5:T47,T47)=1,1,0)</x:f>
        <x:v>1</x:v>
      </x:c>
    </x:row>
    <x:row r="48" ht="94" customHeight="1">
      <x:c r="A48" s="28" t="str">
        <x:v>Fredericton</x:v>
      </x:c>
      <x:c r="B48" s="28" t="str">
        <x:v>NB</x:v>
      </x:c>
      <x:c r="C48" s="28" t="str">
        <x:v>Sports fields</x:v>
      </x:c>
      <x:c r="D48" s="28" t="str">
        <x:v>Parks and recreation</x:v>
      </x:c>
      <x:c r="E48" s="28" t="str">
        <x:v>D</x:v>
      </x:c>
      <x:c r="F48" s="28" t="str">
        <x:v>Unconfirmed: CSV / GeoJSON / SHP target formats</x:v>
      </x:c>
      <x:c r="G48" s="28" t="str">
        <x:v>Municipal dataset</x:v>
      </x:c>
      <x:c r="H48" s="28" t="str">
        <x:v>City of Fredericton</x:v>
      </x:c>
      <x:c r="I48" s="28" t="str">
        <x:v>ArcGIS Hub Download / service API</x:v>
      </x:c>
      <x:c r="J48" s="28" t="str"/>
      <x:c r="K48" s="28" t="str"/>
      <x:c r="L48" s="28" t="str">
        <x:v>https://data-fredericton.opendata.arcgis.com/datasets/47b3ec25e0c048e1989c50559870219c_0/explore</x:v>
      </x:c>
      <x:c r="M48" s="28" t="str">
        <x:v>See dataset licence</x:v>
      </x:c>
      <x:c r="N48" s="28" t="str">
        <x:v>See resource metadata</x:v>
      </x:c>
      <x:c r="O48" s="28" t="str">
        <x:v>Link / metadata located; payload not downloaded</x:v>
      </x:c>
      <x:c r="P48" s="28" t="str">
        <x:v>Specific dataset lead; per-resource export formats need verification</x:v>
      </x:c>
      <x:c r="Q48" s="28" t="str">
        <x:v> Use GeoJSON/SHP to retain geometry; inspect layer export options.</x:v>
      </x:c>
      <x:c r="R48" s="28" t="str">
        <x:v>https://www150.statcan.gc.ca/n1/pub/21-26-0002/2021001/meta-eng.htm</x:v>
      </x:c>
      <x:c r="S48" s="28" t="str">
        <x:v>2026-10-07</x:v>
      </x:c>
      <x:c r="T48" s="28" t="str">
        <x:v>DS-ca37e4c163e3</x:v>
      </x:c>
      <x:c r="U48" s="28" t="str">
        <x:v>CA-0050</x:v>
      </x:c>
      <x:c r="V48" s="28" t="str">
        <x:v>https://www.arcgis.com/sharing/rest/content/items/47b3ec25e0c048e1989c50559870219c?f=pjson</x:v>
      </x:c>
      <x:c r="W48" t="n">
        <x:f>IF(COUNTIF($T$5:T48,T48)=1,1,0)</x:f>
        <x:v>1</x:v>
      </x:c>
    </x:row>
    <x:row r="49" ht="94" customHeight="1">
      <x:c r="A49" s="28" t="str">
        <x:v>Moncton</x:v>
      </x:c>
      <x:c r="B49" s="28" t="str">
        <x:v>NB</x:v>
      </x:c>
      <x:c r="C49" s="28" t="str">
        <x:v>Parks</x:v>
      </x:c>
      <x:c r="D49" s="28" t="str">
        <x:v>Parks and recreation</x:v>
      </x:c>
      <x:c r="E49" s="28" t="str">
        <x:v>D</x:v>
      </x:c>
      <x:c r="F49" s="28" t="str">
        <x:v>Unconfirmed: CSV / GeoJSON / SHP target formats</x:v>
      </x:c>
      <x:c r="G49" s="28" t="str">
        <x:v>Municipal dataset</x:v>
      </x:c>
      <x:c r="H49" s="28" t="str">
        <x:v>City of Moncton</x:v>
      </x:c>
      <x:c r="I49" s="28" t="str">
        <x:v>ArcGIS Hub Download / service API</x:v>
      </x:c>
      <x:c r="J49" s="28" t="str"/>
      <x:c r="K49" s="28" t="str"/>
      <x:c r="L49" s="28" t="str">
        <x:v>https://open.moncton.ca/datasets/4a0e7e16c5f74a6a95e5e220eb2213be_0/explore</x:v>
      </x:c>
      <x:c r="M49" s="28" t="str">
        <x:v>See dataset licence</x:v>
      </x:c>
      <x:c r="N49" s="28" t="str">
        <x:v>See resource metadata</x:v>
      </x:c>
      <x:c r="O49" s="28" t="str">
        <x:v>Link / metadata located; payload not downloaded</x:v>
      </x:c>
      <x:c r="P49" s="28" t="str">
        <x:v>Specific dataset lead; per-resource export formats need verification</x:v>
      </x:c>
      <x:c r="Q49" s="28" t="str">
        <x:v> Use GeoJSON/SHP to retain geometry; inspect layer export options.</x:v>
      </x:c>
      <x:c r="R49" s="28" t="str">
        <x:v>https://www150.statcan.gc.ca/n1/pub/21-26-0002/2021001/meta-eng.htm</x:v>
      </x:c>
      <x:c r="S49" s="28" t="str">
        <x:v>2026-10-07</x:v>
      </x:c>
      <x:c r="T49" s="28" t="str">
        <x:v>DS-87424ab046a4</x:v>
      </x:c>
      <x:c r="U49" s="28" t="str">
        <x:v>CA-0052</x:v>
      </x:c>
      <x:c r="V49" s="28" t="str">
        <x:v>https://www.arcgis.com/sharing/rest/content/items/4a0e7e16c5f74a6a95e5e220eb2213be?f=pjson</x:v>
      </x:c>
      <x:c r="W49" t="n">
        <x:f>IF(COUNTIF($T$5:T49,T49)=1,1,0)</x:f>
        <x:v>1</x:v>
      </x:c>
    </x:row>
    <x:row r="50" ht="94" customHeight="1">
      <x:c r="A50" s="28" t="str">
        <x:v>Moncton</x:v>
      </x:c>
      <x:c r="B50" s="28" t="str">
        <x:v>NB</x:v>
      </x:c>
      <x:c r="C50" s="28" t="str">
        <x:v>Pathways</x:v>
      </x:c>
      <x:c r="D50" s="28" t="str">
        <x:v>Transportation</x:v>
      </x:c>
      <x:c r="E50" s="28" t="str">
        <x:v>D</x:v>
      </x:c>
      <x:c r="F50" s="28" t="str">
        <x:v>Unconfirmed: CSV / GeoJSON / SHP target formats</x:v>
      </x:c>
      <x:c r="G50" s="28" t="str">
        <x:v>Municipal dataset</x:v>
      </x:c>
      <x:c r="H50" s="28" t="str">
        <x:v>City of Moncton</x:v>
      </x:c>
      <x:c r="I50" s="28" t="str">
        <x:v>ArcGIS Hub Download / service API</x:v>
      </x:c>
      <x:c r="J50" s="28" t="str"/>
      <x:c r="K50" s="28" t="str"/>
      <x:c r="L50" s="28" t="str">
        <x:v>https://open.moncton.ca/datasets/edfd46d2747c4ce5881270b9ad6b7d71_0/explore</x:v>
      </x:c>
      <x:c r="M50" s="28" t="str">
        <x:v>See dataset licence</x:v>
      </x:c>
      <x:c r="N50" s="28" t="str">
        <x:v>See resource metadata</x:v>
      </x:c>
      <x:c r="O50" s="28" t="str">
        <x:v>Link / metadata located; payload not downloaded</x:v>
      </x:c>
      <x:c r="P50" s="28" t="str">
        <x:v>Specific dataset lead; per-resource export formats need verification</x:v>
      </x:c>
      <x:c r="Q50" s="28" t="str">
        <x:v> Use GeoJSON/SHP to retain geometry; inspect layer export options.</x:v>
      </x:c>
      <x:c r="R50" s="28" t="str">
        <x:v>https://www150.statcan.gc.ca/n1/pub/21-26-0002/2021001/meta-eng.htm</x:v>
      </x:c>
      <x:c r="S50" s="28" t="str">
        <x:v>2026-10-07</x:v>
      </x:c>
      <x:c r="T50" s="28" t="str">
        <x:v>DS-7c53906273d1</x:v>
      </x:c>
      <x:c r="U50" s="28" t="str">
        <x:v>CA-0053</x:v>
      </x:c>
      <x:c r="V50" s="28" t="str">
        <x:v>https://www.arcgis.com/sharing/rest/content/items/edfd46d2747c4ce5881270b9ad6b7d71?f=pjson</x:v>
      </x:c>
      <x:c r="W50" t="n">
        <x:f>IF(COUNTIF($T$5:T50,T50)=1,1,0)</x:f>
        <x:v>1</x:v>
      </x:c>
    </x:row>
    <x:row r="51" ht="94" customHeight="1">
      <x:c r="A51" s="28" t="str">
        <x:v>Saint John</x:v>
      </x:c>
      <x:c r="B51" s="28" t="str">
        <x:v>NB</x:v>
      </x:c>
      <x:c r="C51" s="28" t="str">
        <x:v>Community centres</x:v>
      </x:c>
      <x:c r="D51" s="28" t="str">
        <x:v>Public facilities</x:v>
      </x:c>
      <x:c r="E51" s="28" t="str">
        <x:v>D</x:v>
      </x:c>
      <x:c r="F51" s="28" t="str">
        <x:v>Unconfirmed: CSV / GeoJSON / SHP target formats</x:v>
      </x:c>
      <x:c r="G51" s="28" t="str">
        <x:v>Municipal dataset</x:v>
      </x:c>
      <x:c r="H51" s="28" t="str">
        <x:v>City of Saint John</x:v>
      </x:c>
      <x:c r="I51" s="28" t="str">
        <x:v>ArcGIS Hub Download / service API</x:v>
      </x:c>
      <x:c r="J51" s="28" t="str"/>
      <x:c r="K51" s="28" t="str"/>
      <x:c r="L51" s="28" t="str">
        <x:v>https://catalogue-saintjohn.opendata.arcgis.com/datasets/d61081f045254f6298f05ea899a869cc_0/explore</x:v>
      </x:c>
      <x:c r="M51" s="28" t="str">
        <x:v>See dataset licence</x:v>
      </x:c>
      <x:c r="N51" s="28" t="str">
        <x:v>See resource metadata</x:v>
      </x:c>
      <x:c r="O51" s="28" t="str">
        <x:v>Link / metadata located; payload not downloaded</x:v>
      </x:c>
      <x:c r="P51" s="28" t="str">
        <x:v>Specific dataset lead; per-resource export formats need verification</x:v>
      </x:c>
      <x:c r="Q51" s="28" t="str">
        <x:v> Use GeoJSON/SHP to retain geometry; inspect layer export options.</x:v>
      </x:c>
      <x:c r="R51" s="28" t="str">
        <x:v>https://www150.statcan.gc.ca/n1/pub/21-26-0002/2021001/meta-eng.htm</x:v>
      </x:c>
      <x:c r="S51" s="28" t="str">
        <x:v>2026-10-07</x:v>
      </x:c>
      <x:c r="T51" s="28" t="str">
        <x:v>DS-7effd853d350</x:v>
      </x:c>
      <x:c r="U51" s="28" t="str">
        <x:v>CA-0055</x:v>
      </x:c>
      <x:c r="V51" s="28" t="str">
        <x:v>https://www.arcgis.com/sharing/rest/content/items/d61081f045254f6298f05ea899a869cc?f=pjson</x:v>
      </x:c>
      <x:c r="W51" t="n">
        <x:f>IF(COUNTIF($T$5:T51,T51)=1,1,0)</x:f>
        <x:v>1</x:v>
      </x:c>
    </x:row>
    <x:row r="52" ht="94" customHeight="1">
      <x:c r="A52" s="28" t="str">
        <x:v>Saint John</x:v>
      </x:c>
      <x:c r="B52" s="28" t="str">
        <x:v>NB</x:v>
      </x:c>
      <x:c r="C52" s="28" t="str">
        <x:v>Parks</x:v>
      </x:c>
      <x:c r="D52" s="28" t="str">
        <x:v>Parks and recreation</x:v>
      </x:c>
      <x:c r="E52" s="28" t="str">
        <x:v>D</x:v>
      </x:c>
      <x:c r="F52" s="28" t="str">
        <x:v>Unconfirmed: CSV / GeoJSON / SHP target formats</x:v>
      </x:c>
      <x:c r="G52" s="28" t="str">
        <x:v>Municipal dataset</x:v>
      </x:c>
      <x:c r="H52" s="28" t="str">
        <x:v>City of Saint John</x:v>
      </x:c>
      <x:c r="I52" s="28" t="str">
        <x:v>ArcGIS Hub Download / service API</x:v>
      </x:c>
      <x:c r="J52" s="28" t="str"/>
      <x:c r="K52" s="28" t="str"/>
      <x:c r="L52" s="28" t="str">
        <x:v>https://catalogue-saintjohn.opendata.arcgis.com/datasets/a9b97d2543ed4d7584c51c2d740b64da_0/explore</x:v>
      </x:c>
      <x:c r="M52" s="28" t="str">
        <x:v>See dataset licence</x:v>
      </x:c>
      <x:c r="N52" s="28" t="str">
        <x:v>See resource metadata</x:v>
      </x:c>
      <x:c r="O52" s="28" t="str">
        <x:v>Link / metadata located; payload not downloaded</x:v>
      </x:c>
      <x:c r="P52" s="28" t="str">
        <x:v>Specific dataset lead; per-resource export formats need verification</x:v>
      </x:c>
      <x:c r="Q52" s="28" t="str">
        <x:v> Use GeoJSON/SHP to retain geometry; inspect layer export options.</x:v>
      </x:c>
      <x:c r="R52" s="28" t="str">
        <x:v>https://www150.statcan.gc.ca/n1/pub/21-26-0002/2021001/meta-eng.htm</x:v>
      </x:c>
      <x:c r="S52" s="28" t="str">
        <x:v>2026-10-07</x:v>
      </x:c>
      <x:c r="T52" s="28" t="str">
        <x:v>DS-7cf30b321fcf</x:v>
      </x:c>
      <x:c r="U52" s="28" t="str">
        <x:v>CA-0054</x:v>
      </x:c>
      <x:c r="V52" s="28" t="str">
        <x:v>https://www.arcgis.com/sharing/rest/content/items/a9b97d2543ed4d7584c51c2d740b64da?f=pjson</x:v>
      </x:c>
      <x:c r="W52" t="n">
        <x:f>IF(COUNTIF($T$5:T52,T52)=1,1,0)</x:f>
        <x:v>1</x:v>
      </x:c>
    </x:row>
    <x:row r="53" ht="94" customHeight="1">
      <x:c r="A53" s="28" t="str">
        <x:v>Halifax</x:v>
      </x:c>
      <x:c r="B53" s="28" t="str">
        <x:v>NS</x:v>
      </x:c>
      <x:c r="C53" s="28" t="str">
        <x:v>Active travelways</x:v>
      </x:c>
      <x:c r="D53" s="28" t="str">
        <x:v>Parks and recreation</x:v>
      </x:c>
      <x:c r="E53" s="28" t="str">
        <x:v>D</x:v>
      </x:c>
      <x:c r="F53" s="28" t="str">
        <x:v>Unconfirmed: CSV / GeoJSON / SHP target formats</x:v>
      </x:c>
      <x:c r="G53" s="28" t="str">
        <x:v>Regional dataset; city filter required</x:v>
      </x:c>
      <x:c r="H53" s="28" t="str">
        <x:v>Halifax Regional Municipality</x:v>
      </x:c>
      <x:c r="I53" s="28" t="str">
        <x:v>ArcGIS Hub Download / service API</x:v>
      </x:c>
      <x:c r="J53" s="28" t="str"/>
      <x:c r="K53" s="28" t="str"/>
      <x:c r="L53" s="28" t="str">
        <x:v>https://data-hrm.hub.arcgis.com/datasets/a3631c7664ef4ecb93afb1ea4c12022b_0/explore</x:v>
      </x:c>
      <x:c r="M53" s="28" t="str">
        <x:v>See dataset licence</x:v>
      </x:c>
      <x:c r="N53" s="28" t="str">
        <x:v>See resource metadata</x:v>
      </x:c>
      <x:c r="O53" s="28" t="str">
        <x:v>Link / metadata located; payload not downloaded</x:v>
      </x:c>
      <x:c r="P53" s="28" t="str">
        <x:v>Specific dataset lead; per-resource export formats need verification</x:v>
      </x:c>
      <x:c r="Q53" s="28" t="str">
        <x:v> Use GeoJSON/SHP to retain geometry; inspect layer export options.</x:v>
      </x:c>
      <x:c r="R53" s="28" t="str">
        <x:v>https://www150.statcan.gc.ca/n1/pub/21-26-0002/2021001/meta-eng.htm</x:v>
      </x:c>
      <x:c r="S53" s="28" t="str">
        <x:v>2026-10-07</x:v>
      </x:c>
      <x:c r="T53" s="28" t="str">
        <x:v>DS-657ab31c7a63</x:v>
      </x:c>
      <x:c r="U53" s="28" t="str">
        <x:v>CA-0083</x:v>
      </x:c>
      <x:c r="V53" s="28" t="str">
        <x:v>https://www.arcgis.com/sharing/rest/content/items/a3631c7664ef4ecb93afb1ea4c12022b?f=pjson</x:v>
      </x:c>
      <x:c r="W53" t="n">
        <x:f>IF(COUNTIF($T$5:T53,T53)=1,1,0)</x:f>
        <x:v>1</x:v>
      </x:c>
    </x:row>
    <x:row r="54" ht="94" customHeight="1">
      <x:c r="A54" s="28" t="str">
        <x:v>Halifax</x:v>
      </x:c>
      <x:c r="B54" s="28" t="str">
        <x:v>NS</x:v>
      </x:c>
      <x:c r="C54" s="28" t="str">
        <x:v>HRM parks</x:v>
      </x:c>
      <x:c r="D54" s="28" t="str">
        <x:v>Parks and recreation</x:v>
      </x:c>
      <x:c r="E54" s="28" t="str">
        <x:v>D</x:v>
      </x:c>
      <x:c r="F54" s="28" t="str">
        <x:v>Unconfirmed: CSV / GeoJSON / SHP target formats</x:v>
      </x:c>
      <x:c r="G54" s="28" t="str">
        <x:v>Regional dataset; city filter required</x:v>
      </x:c>
      <x:c r="H54" s="28" t="str">
        <x:v>Halifax Regional Municipality</x:v>
      </x:c>
      <x:c r="I54" s="28" t="str">
        <x:v>ArcGIS Hub Download / service API</x:v>
      </x:c>
      <x:c r="J54" s="28" t="str"/>
      <x:c r="K54" s="28" t="str"/>
      <x:c r="L54" s="28" t="str">
        <x:v>https://data-hrm.hub.arcgis.com/datasets/3df29a3d088a42d890f11d027ea1c0be_0/explore</x:v>
      </x:c>
      <x:c r="M54" s="28" t="str">
        <x:v>See dataset licence</x:v>
      </x:c>
      <x:c r="N54" s="28" t="str">
        <x:v>See resource metadata</x:v>
      </x:c>
      <x:c r="O54" s="28" t="str">
        <x:v>Link / metadata located; payload not downloaded</x:v>
      </x:c>
      <x:c r="P54" s="28" t="str">
        <x:v>Specific dataset lead; per-resource export formats need verification</x:v>
      </x:c>
      <x:c r="Q54" s="28" t="str">
        <x:v> Use GeoJSON/SHP to retain geometry; inspect layer export options.</x:v>
      </x:c>
      <x:c r="R54" s="28" t="str">
        <x:v>https://www150.statcan.gc.ca/n1/pub/21-26-0002/2021001/meta-eng.htm</x:v>
      </x:c>
      <x:c r="S54" s="28" t="str">
        <x:v>2026-10-07</x:v>
      </x:c>
      <x:c r="T54" s="28" t="str">
        <x:v>DS-b10facc6bb23</x:v>
      </x:c>
      <x:c r="U54" s="28" t="str">
        <x:v>CA-0082</x:v>
      </x:c>
      <x:c r="V54" s="28" t="str">
        <x:v>https://www.arcgis.com/sharing/rest/content/items/3df29a3d088a42d890f11d027ea1c0be?f=pjson</x:v>
      </x:c>
      <x:c r="W54" t="n">
        <x:f>IF(COUNTIF($T$5:T54,T54)=1,1,0)</x:f>
        <x:v>1</x:v>
      </x:c>
    </x:row>
    <x:row r="55" ht="94" customHeight="1">
      <x:c r="A55" s="28" t="str">
        <x:v>Yellowknife</x:v>
      </x:c>
      <x:c r="B55" s="28" t="str">
        <x:v>NT</x:v>
      </x:c>
      <x:c r="C55" s="28" t="str">
        <x:v>Parks</x:v>
      </x:c>
      <x:c r="D55" s="28" t="str">
        <x:v>Parks and recreation</x:v>
      </x:c>
      <x:c r="E55" s="28" t="str">
        <x:v>D</x:v>
      </x:c>
      <x:c r="F55" s="28" t="str">
        <x:v>Unconfirmed: CSV / GeoJSON / SHP target formats</x:v>
      </x:c>
      <x:c r="G55" s="28" t="str">
        <x:v>Municipal dataset</x:v>
      </x:c>
      <x:c r="H55" s="28" t="str">
        <x:v>City of Yellowknife</x:v>
      </x:c>
      <x:c r="I55" s="28" t="str">
        <x:v>ArcGIS Hub Download / service API</x:v>
      </x:c>
      <x:c r="J55" s="28" t="str"/>
      <x:c r="K55" s="28" t="str"/>
      <x:c r="L55" s="28" t="str">
        <x:v>https://opendata.yellowknife.ca/datasets/3a6cf2002f8b455b80c1a588bd3ca7e7_0/explore</x:v>
      </x:c>
      <x:c r="M55" s="28" t="str">
        <x:v>See dataset licence</x:v>
      </x:c>
      <x:c r="N55" s="28" t="str">
        <x:v>See resource metadata</x:v>
      </x:c>
      <x:c r="O55" s="28" t="str">
        <x:v>Link / metadata located; payload not downloaded</x:v>
      </x:c>
      <x:c r="P55" s="28" t="str">
        <x:v>Specific dataset lead; per-resource export formats need verification</x:v>
      </x:c>
      <x:c r="Q55" s="28" t="str">
        <x:v> Use GeoJSON/SHP to retain geometry; inspect layer export options.</x:v>
      </x:c>
      <x:c r="R55" s="28" t="str">
        <x:v>https://www150.statcan.gc.ca/n1/pub/21-26-0002/2021001/meta-eng.htm</x:v>
      </x:c>
      <x:c r="S55" s="28" t="str">
        <x:v>2026-10-07</x:v>
      </x:c>
      <x:c r="T55" s="28" t="str">
        <x:v>DS-69c1382c92b8</x:v>
      </x:c>
      <x:c r="U55" s="28" t="str">
        <x:v>CA-0065</x:v>
      </x:c>
      <x:c r="V55" s="28" t="str">
        <x:v>https://www.arcgis.com/sharing/rest/content/items/3a6cf2002f8b455b80c1a588bd3ca7e7?f=pjson</x:v>
      </x:c>
      <x:c r="W55" t="n">
        <x:f>IF(COUNTIF($T$5:T55,T55)=1,1,0)</x:f>
        <x:v>1</x:v>
      </x:c>
    </x:row>
    <x:row r="56" ht="94" customHeight="1">
      <x:c r="A56" s="28" t="str">
        <x:v>Barrie</x:v>
      </x:c>
      <x:c r="B56" s="28" t="str">
        <x:v>ON</x:v>
      </x:c>
      <x:c r="C56" s="28" t="str">
        <x:v>Park boundaries</x:v>
      </x:c>
      <x:c r="D56" s="28" t="str">
        <x:v>Parks and recreation</x:v>
      </x:c>
      <x:c r="E56" s="28" t="str">
        <x:v>D</x:v>
      </x:c>
      <x:c r="F56" s="28" t="str">
        <x:v>Unconfirmed: CSV / GeoJSON / SHP target formats</x:v>
      </x:c>
      <x:c r="G56" s="28" t="str">
        <x:v>Municipal dataset</x:v>
      </x:c>
      <x:c r="H56" s="28" t="str">
        <x:v>City of Barrie</x:v>
      </x:c>
      <x:c r="I56" s="28" t="str">
        <x:v>ArcGIS Hub Download / service API</x:v>
      </x:c>
      <x:c r="J56" s="28" t="str"/>
      <x:c r="K56" s="28" t="str"/>
      <x:c r="L56" s="28" t="str">
        <x:v>https://opendata.barrie.ca/datasets/9efc8c0748e843e7851bf9648932ce57_32/explore</x:v>
      </x:c>
      <x:c r="M56" s="28" t="str">
        <x:v>See dataset licence</x:v>
      </x:c>
      <x:c r="N56" s="28" t="str">
        <x:v>See resource metadata</x:v>
      </x:c>
      <x:c r="O56" s="28" t="str">
        <x:v>Link / metadata located; payload not downloaded</x:v>
      </x:c>
      <x:c r="P56" s="28" t="str">
        <x:v>Specific dataset lead; per-resource export formats need verification</x:v>
      </x:c>
      <x:c r="Q56" s="28" t="str">
        <x:v> Use GeoJSON/SHP to retain geometry; inspect layer export options.</x:v>
      </x:c>
      <x:c r="R56" s="28" t="str">
        <x:v>https://www150.statcan.gc.ca/n1/pub/21-26-0002/2021001/meta-eng.htm</x:v>
      </x:c>
      <x:c r="S56" s="28" t="str">
        <x:v>2026-10-07</x:v>
      </x:c>
      <x:c r="T56" s="28" t="str">
        <x:v>DS-636e5c51f34a</x:v>
      </x:c>
      <x:c r="U56" s="28" t="str">
        <x:v>CA-0039</x:v>
      </x:c>
      <x:c r="V56" s="28" t="str">
        <x:v>https://www.arcgis.com/sharing/rest/content/items/9efc8c0748e843e7851bf9648932ce57?f=pjson</x:v>
      </x:c>
      <x:c r="W56" t="n">
        <x:f>IF(COUNTIF($T$5:T56,T56)=1,1,0)</x:f>
        <x:v>1</x:v>
      </x:c>
    </x:row>
    <x:row r="57" ht="94" customHeight="1">
      <x:c r="A57" s="28" t="str">
        <x:v>Barrie</x:v>
      </x:c>
      <x:c r="B57" s="28" t="str">
        <x:v>ON</x:v>
      </x:c>
      <x:c r="C57" s="28" t="str">
        <x:v>Trails</x:v>
      </x:c>
      <x:c r="D57" s="28" t="str">
        <x:v>Transportation</x:v>
      </x:c>
      <x:c r="E57" s="28" t="str">
        <x:v>D</x:v>
      </x:c>
      <x:c r="F57" s="28" t="str">
        <x:v>Unconfirmed: CSV / GeoJSON / SHP target formats</x:v>
      </x:c>
      <x:c r="G57" s="28" t="str">
        <x:v>Municipal dataset</x:v>
      </x:c>
      <x:c r="H57" s="28" t="str">
        <x:v>City of Barrie</x:v>
      </x:c>
      <x:c r="I57" s="28" t="str">
        <x:v>ArcGIS Hub Download / service API</x:v>
      </x:c>
      <x:c r="J57" s="28" t="str"/>
      <x:c r="K57" s="28" t="str"/>
      <x:c r="L57" s="28" t="str">
        <x:v>https://opendata.barrie.ca/datasets/c350bf11964b4d38b3d11fadd4a6431d_0/explore</x:v>
      </x:c>
      <x:c r="M57" s="28" t="str">
        <x:v>See dataset licence</x:v>
      </x:c>
      <x:c r="N57" s="28" t="str">
        <x:v>See resource metadata</x:v>
      </x:c>
      <x:c r="O57" s="28" t="str">
        <x:v>Link / metadata located; payload not downloaded</x:v>
      </x:c>
      <x:c r="P57" s="28" t="str">
        <x:v>Specific dataset lead; per-resource export formats need verification</x:v>
      </x:c>
      <x:c r="Q57" s="28" t="str">
        <x:v> Use GeoJSON/SHP to retain geometry; inspect layer export options.</x:v>
      </x:c>
      <x:c r="R57" s="28" t="str">
        <x:v>https://www150.statcan.gc.ca/n1/pub/21-26-0002/2021001/meta-eng.htm</x:v>
      </x:c>
      <x:c r="S57" s="28" t="str">
        <x:v>2026-10-07</x:v>
      </x:c>
      <x:c r="T57" s="28" t="str">
        <x:v>DS-50fd047e45ea</x:v>
      </x:c>
      <x:c r="U57" s="28" t="str">
        <x:v>CA-0040</x:v>
      </x:c>
      <x:c r="V57" s="28" t="str">
        <x:v>https://www.arcgis.com/sharing/rest/content/items/c350bf11964b4d38b3d11fadd4a6431d?f=pjson</x:v>
      </x:c>
      <x:c r="W57" t="n">
        <x:f>IF(COUNTIF($T$5:T57,T57)=1,1,0)</x:f>
        <x:v>1</x:v>
      </x:c>
    </x:row>
    <x:row r="58" ht="94" customHeight="1">
      <x:c r="A58" s="28" t="str">
        <x:v>Brampton</x:v>
      </x:c>
      <x:c r="B58" s="28" t="str">
        <x:v>ON</x:v>
      </x:c>
      <x:c r="C58" s="28" t="str">
        <x:v>Parks</x:v>
      </x:c>
      <x:c r="D58" s="28" t="str">
        <x:v>Parks and recreation</x:v>
      </x:c>
      <x:c r="E58" s="28" t="str">
        <x:v>D</x:v>
      </x:c>
      <x:c r="F58" s="28" t="str">
        <x:v>Unconfirmed: CSV / GeoJSON / SHP target formats</x:v>
      </x:c>
      <x:c r="G58" s="28" t="str">
        <x:v>Municipal dataset</x:v>
      </x:c>
      <x:c r="H58" s="28" t="str">
        <x:v>City of Brampton</x:v>
      </x:c>
      <x:c r="I58" s="28" t="str">
        <x:v>ArcGIS Hub Download / service API</x:v>
      </x:c>
      <x:c r="J58" s="28" t="str"/>
      <x:c r="K58" s="28" t="str"/>
      <x:c r="L58" s="28" t="str">
        <x:v>https://geohub.brampton.ca/datasets/307e43e8092a46efae2683a0f3276bd9_1</x:v>
      </x:c>
      <x:c r="M58" s="28" t="str">
        <x:v>See dataset licence</x:v>
      </x:c>
      <x:c r="N58" s="28" t="str">
        <x:v>See resource metadata</x:v>
      </x:c>
      <x:c r="O58" s="28" t="str">
        <x:v>Link / metadata located; payload not downloaded</x:v>
      </x:c>
      <x:c r="P58" s="28" t="str">
        <x:v>Specific dataset lead; per-resource export formats need verification</x:v>
      </x:c>
      <x:c r="Q58" s="28" t="str">
        <x:v> Use GeoJSON/SHP to retain geometry; inspect layer export options.</x:v>
      </x:c>
      <x:c r="R58" s="28" t="str">
        <x:v>https://geohub.brampton.ca/datasets/307e43e8092a46efae2683a0f3276bd9_1</x:v>
      </x:c>
      <x:c r="S58" s="28" t="str">
        <x:v>2026-10-07</x:v>
      </x:c>
      <x:c r="T58" s="28" t="str">
        <x:v>DS-5efbf872c972</x:v>
      </x:c>
      <x:c r="U58" s="28" t="str">
        <x:v>CA-0026</x:v>
      </x:c>
      <x:c r="V58" s="28" t="str">
        <x:v>https://www.arcgis.com/sharing/rest/content/items/307e43e8092a46efae2683a0f3276bd9?f=pjson</x:v>
      </x:c>
      <x:c r="W58" t="n">
        <x:f>IF(COUNTIF($T$5:T58,T58)=1,1,0)</x:f>
        <x:v>1</x:v>
      </x:c>
    </x:row>
    <x:row r="59" ht="94" customHeight="1">
      <x:c r="A59" s="28" t="str">
        <x:v>Brampton</x:v>
      </x:c>
      <x:c r="B59" s="28" t="str">
        <x:v>ON</x:v>
      </x:c>
      <x:c r="C59" s="28" t="str">
        <x:v>Recreation centres</x:v>
      </x:c>
      <x:c r="D59" s="28" t="str">
        <x:v>Public facilities</x:v>
      </x:c>
      <x:c r="E59" s="28" t="str">
        <x:v>D</x:v>
      </x:c>
      <x:c r="F59" s="28" t="str">
        <x:v>Unconfirmed: CSV / GeoJSON / SHP target formats</x:v>
      </x:c>
      <x:c r="G59" s="28" t="str">
        <x:v>Municipal dataset</x:v>
      </x:c>
      <x:c r="H59" s="28" t="str">
        <x:v>City of Brampton</x:v>
      </x:c>
      <x:c r="I59" s="28" t="str">
        <x:v>ArcGIS Hub Download / service API</x:v>
      </x:c>
      <x:c r="J59" s="28" t="str"/>
      <x:c r="K59" s="28" t="str"/>
      <x:c r="L59" s="28" t="str">
        <x:v>https://geohub.brampton.ca/datasets/ff37167a92ce454bac4f5a42695df28d_6</x:v>
      </x:c>
      <x:c r="M59" s="28" t="str">
        <x:v>See dataset licence</x:v>
      </x:c>
      <x:c r="N59" s="28" t="str">
        <x:v>See resource metadata</x:v>
      </x:c>
      <x:c r="O59" s="28" t="str">
        <x:v>Link / metadata located; payload not downloaded</x:v>
      </x:c>
      <x:c r="P59" s="28" t="str">
        <x:v>Specific dataset lead; per-resource export formats need verification</x:v>
      </x:c>
      <x:c r="Q59" s="28" t="str">
        <x:v> Use GeoJSON/SHP to retain geometry; inspect layer export options.</x:v>
      </x:c>
      <x:c r="R59" s="28" t="str">
        <x:v>https://geohub.brampton.ca/datasets/ff37167a92ce454bac4f5a42695df28d_6</x:v>
      </x:c>
      <x:c r="S59" s="28" t="str">
        <x:v>2026-10-07</x:v>
      </x:c>
      <x:c r="T59" s="28" t="str">
        <x:v>DS-3eaed0f34129</x:v>
      </x:c>
      <x:c r="U59" s="28" t="str">
        <x:v>CA-0027</x:v>
      </x:c>
      <x:c r="V59" s="28" t="str">
        <x:v>https://www.arcgis.com/sharing/rest/content/items/ff37167a92ce454bac4f5a42695df28d?f=pjson</x:v>
      </x:c>
      <x:c r="W59" t="n">
        <x:f>IF(COUNTIF($T$5:T59,T59)=1,1,0)</x:f>
        <x:v>1</x:v>
      </x:c>
    </x:row>
    <x:row r="60" ht="94" customHeight="1">
      <x:c r="A60" s="28" t="str">
        <x:v>Brampton</x:v>
      </x:c>
      <x:c r="B60" s="28" t="str">
        <x:v>ON</x:v>
      </x:c>
      <x:c r="C60" s="28" t="str">
        <x:v>Recreational trails</x:v>
      </x:c>
      <x:c r="D60" s="28" t="str">
        <x:v>Transportation</x:v>
      </x:c>
      <x:c r="E60" s="28" t="str">
        <x:v>D</x:v>
      </x:c>
      <x:c r="F60" s="28" t="str">
        <x:v>Unconfirmed: CSV / GeoJSON / SHP target formats</x:v>
      </x:c>
      <x:c r="G60" s="28" t="str">
        <x:v>Municipal dataset</x:v>
      </x:c>
      <x:c r="H60" s="28" t="str">
        <x:v>City of Brampton</x:v>
      </x:c>
      <x:c r="I60" s="28" t="str">
        <x:v>ArcGIS Hub Download / service API</x:v>
      </x:c>
      <x:c r="J60" s="28" t="str"/>
      <x:c r="K60" s="28" t="str"/>
      <x:c r="L60" s="28" t="str">
        <x:v>https://geohub.brampton.ca/datasets/7a4019577fcf4a4f86da22add04816cf_0</x:v>
      </x:c>
      <x:c r="M60" s="28" t="str">
        <x:v>See dataset licence</x:v>
      </x:c>
      <x:c r="N60" s="28" t="str">
        <x:v>See resource metadata</x:v>
      </x:c>
      <x:c r="O60" s="28" t="str">
        <x:v>Link / metadata located; payload not downloaded</x:v>
      </x:c>
      <x:c r="P60" s="28" t="str">
        <x:v>Specific dataset lead; per-resource export formats need verification</x:v>
      </x:c>
      <x:c r="Q60" s="28" t="str">
        <x:v> Use GeoJSON/SHP to retain geometry; inspect layer export options.</x:v>
      </x:c>
      <x:c r="R60" s="28" t="str">
        <x:v>https://geohub.brampton.ca/datasets/7a4019577fcf4a4f86da22add04816cf_0</x:v>
      </x:c>
      <x:c r="S60" s="28" t="str">
        <x:v>2026-10-07</x:v>
      </x:c>
      <x:c r="T60" s="28" t="str">
        <x:v>DS-e800b98017ac</x:v>
      </x:c>
      <x:c r="U60" s="28" t="str">
        <x:v>CA-0028</x:v>
      </x:c>
      <x:c r="V60" s="28" t="str">
        <x:v>https://www.arcgis.com/sharing/rest/content/items/7a4019577fcf4a4f86da22add04816cf?f=pjson</x:v>
      </x:c>
      <x:c r="W60" t="n">
        <x:f>IF(COUNTIF($T$5:T60,T60)=1,1,0)</x:f>
        <x:v>1</x:v>
      </x:c>
    </x:row>
    <x:row r="61" ht="94" customHeight="1">
      <x:c r="A61" s="28" t="str">
        <x:v>Brantford</x:v>
      </x:c>
      <x:c r="B61" s="28" t="str">
        <x:v>ON</x:v>
      </x:c>
      <x:c r="C61" s="28" t="str">
        <x:v>Parks</x:v>
      </x:c>
      <x:c r="D61" s="28" t="str">
        <x:v>Parks and recreation</x:v>
      </x:c>
      <x:c r="E61" s="28" t="str">
        <x:v>D</x:v>
      </x:c>
      <x:c r="F61" s="28" t="str">
        <x:v>Unconfirmed: CSV / GeoJSON / SHP target formats</x:v>
      </x:c>
      <x:c r="G61" s="28" t="str">
        <x:v>Municipal dataset</x:v>
      </x:c>
      <x:c r="H61" s="28" t="str">
        <x:v>City of Brantford</x:v>
      </x:c>
      <x:c r="I61" s="28" t="str">
        <x:v>ArcGIS Hub Download / service API</x:v>
      </x:c>
      <x:c r="J61" s="28" t="str"/>
      <x:c r="K61" s="28" t="str"/>
      <x:c r="L61" s="28" t="str">
        <x:v>https://data-brantford.opendata.arcgis.com/datasets/888b5d206b28423f8344109c9fdbc961_0/explore</x:v>
      </x:c>
      <x:c r="M61" s="28" t="str">
        <x:v>See dataset licence</x:v>
      </x:c>
      <x:c r="N61" s="28" t="str">
        <x:v>See resource metadata</x:v>
      </x:c>
      <x:c r="O61" s="28" t="str">
        <x:v>Link / metadata located; payload not downloaded</x:v>
      </x:c>
      <x:c r="P61" s="28" t="str">
        <x:v>Specific dataset lead; per-resource export formats need verification</x:v>
      </x:c>
      <x:c r="Q61" s="28" t="str">
        <x:v> Use GeoJSON/SHP to retain geometry; inspect layer export options.</x:v>
      </x:c>
      <x:c r="R61" s="28" t="str">
        <x:v>https://www150.statcan.gc.ca/n1/pub/21-26-0002/2021001/meta-eng.htm</x:v>
      </x:c>
      <x:c r="S61" s="28" t="str">
        <x:v>2026-10-07</x:v>
      </x:c>
      <x:c r="T61" s="28" t="str">
        <x:v>DS-f4150a1b84df</x:v>
      </x:c>
      <x:c r="U61" s="28" t="str">
        <x:v>CA-0041</x:v>
      </x:c>
      <x:c r="V61" s="28" t="str">
        <x:v>https://www.arcgis.com/sharing/rest/content/items/888b5d206b28423f8344109c9fdbc961?f=pjson</x:v>
      </x:c>
      <x:c r="W61" t="n">
        <x:f>IF(COUNTIF($T$5:T61,T61)=1,1,0)</x:f>
        <x:v>1</x:v>
      </x:c>
    </x:row>
    <x:row r="62" ht="94" customHeight="1">
      <x:c r="A62" s="28" t="str">
        <x:v>Brantford</x:v>
      </x:c>
      <x:c r="B62" s="28" t="str">
        <x:v>ON</x:v>
      </x:c>
      <x:c r="C62" s="28" t="str">
        <x:v>Paths and trails</x:v>
      </x:c>
      <x:c r="D62" s="28" t="str">
        <x:v>Transportation</x:v>
      </x:c>
      <x:c r="E62" s="28" t="str">
        <x:v>D</x:v>
      </x:c>
      <x:c r="F62" s="28" t="str">
        <x:v>Unconfirmed: CSV / GeoJSON / SHP target formats</x:v>
      </x:c>
      <x:c r="G62" s="28" t="str">
        <x:v>Municipal dataset</x:v>
      </x:c>
      <x:c r="H62" s="28" t="str">
        <x:v>City of Brantford</x:v>
      </x:c>
      <x:c r="I62" s="28" t="str">
        <x:v>ArcGIS Hub Download / service API</x:v>
      </x:c>
      <x:c r="J62" s="28" t="str"/>
      <x:c r="K62" s="28" t="str"/>
      <x:c r="L62" s="28" t="str">
        <x:v>https://data-brantford.opendata.arcgis.com/datasets/97107fc9971d47cc8959adcb2fe31129_0/explore</x:v>
      </x:c>
      <x:c r="M62" s="28" t="str">
        <x:v>See dataset licence</x:v>
      </x:c>
      <x:c r="N62" s="28" t="str">
        <x:v>See resource metadata</x:v>
      </x:c>
      <x:c r="O62" s="28" t="str">
        <x:v>Link / metadata located; payload not downloaded</x:v>
      </x:c>
      <x:c r="P62" s="28" t="str">
        <x:v>Specific dataset lead; per-resource export formats need verification</x:v>
      </x:c>
      <x:c r="Q62" s="28" t="str">
        <x:v> Use GeoJSON/SHP to retain geometry; inspect layer export options.</x:v>
      </x:c>
      <x:c r="R62" s="28" t="str">
        <x:v>https://www150.statcan.gc.ca/n1/pub/21-26-0002/2021001/meta-eng.htm</x:v>
      </x:c>
      <x:c r="S62" s="28" t="str">
        <x:v>2026-10-07</x:v>
      </x:c>
      <x:c r="T62" s="28" t="str">
        <x:v>DS-5791d0d08153</x:v>
      </x:c>
      <x:c r="U62" s="28" t="str">
        <x:v>CA-0042</x:v>
      </x:c>
      <x:c r="V62" s="28" t="str">
        <x:v>https://www.arcgis.com/sharing/rest/content/items/97107fc9971d47cc8959adcb2fe31129?f=pjson</x:v>
      </x:c>
      <x:c r="W62" t="n">
        <x:f>IF(COUNTIF($T$5:T62,T62)=1,1,0)</x:f>
        <x:v>1</x:v>
      </x:c>
    </x:row>
    <x:row r="63" ht="94" customHeight="1">
      <x:c r="A63" s="28" t="str">
        <x:v>Burlington</x:v>
      </x:c>
      <x:c r="B63" s="28" t="str">
        <x:v>ON</x:v>
      </x:c>
      <x:c r="C63" s="28" t="str">
        <x:v>Facilities</x:v>
      </x:c>
      <x:c r="D63" s="28" t="str">
        <x:v>Public facilities</x:v>
      </x:c>
      <x:c r="E63" s="28" t="str">
        <x:v>D</x:v>
      </x:c>
      <x:c r="F63" s="28" t="str">
        <x:v>Unconfirmed: CSV / GeoJSON / SHP target formats</x:v>
      </x:c>
      <x:c r="G63" s="28" t="str">
        <x:v>Municipal dataset</x:v>
      </x:c>
      <x:c r="H63" s="28" t="str">
        <x:v>City of Burlington</x:v>
      </x:c>
      <x:c r="I63" s="28" t="str">
        <x:v>ArcGIS Hub Download / service API</x:v>
      </x:c>
      <x:c r="J63" s="28" t="str"/>
      <x:c r="K63" s="28" t="str"/>
      <x:c r="L63" s="28" t="str">
        <x:v>https://navburl-burlington.opendata.arcgis.com/datasets/2fa83f77be9147a39e4bb5f82f34a0c5_0/explore</x:v>
      </x:c>
      <x:c r="M63" s="28" t="str">
        <x:v>See dataset licence</x:v>
      </x:c>
      <x:c r="N63" s="28" t="str">
        <x:v>See resource metadata</x:v>
      </x:c>
      <x:c r="O63" s="28" t="str">
        <x:v>Link / metadata located; payload not downloaded</x:v>
      </x:c>
      <x:c r="P63" s="28" t="str">
        <x:v>Specific dataset lead; per-resource export formats need verification</x:v>
      </x:c>
      <x:c r="Q63" s="28" t="str">
        <x:v> Use GeoJSON/SHP to retain geometry; inspect layer export options.</x:v>
      </x:c>
      <x:c r="R63" s="28" t="str">
        <x:v>https://www150.statcan.gc.ca/n1/pub/21-26-0002/2021001/meta-eng.htm</x:v>
      </x:c>
      <x:c r="S63" s="28" t="str">
        <x:v>2026-10-07</x:v>
      </x:c>
      <x:c r="T63" s="28" t="str">
        <x:v>DS-09e2b3b9dcfb</x:v>
      </x:c>
      <x:c r="U63" s="28" t="str">
        <x:v>CA-0043</x:v>
      </x:c>
      <x:c r="V63" s="28" t="str">
        <x:v>https://www.arcgis.com/sharing/rest/content/items/2fa83f77be9147a39e4bb5f82f34a0c5?f=pjson</x:v>
      </x:c>
      <x:c r="W63" t="n">
        <x:f>IF(COUNTIF($T$5:T63,T63)=1,1,0)</x:f>
        <x:v>1</x:v>
      </x:c>
    </x:row>
    <x:row r="64" ht="94" customHeight="1">
      <x:c r="A64" s="28" t="str">
        <x:v>Cambridge</x:v>
      </x:c>
      <x:c r="B64" s="28" t="str">
        <x:v>ON</x:v>
      </x:c>
      <x:c r="C64" s="28" t="str">
        <x:v>Grand River Transit schedules, stops and routes</x:v>
      </x:c>
      <x:c r="D64" s="28" t="str">
        <x:v>Transit</x:v>
      </x:c>
      <x:c r="E64" s="28" t="str">
        <x:v>B</x:v>
      </x:c>
      <x:c r="F64" s="28" t="str">
        <x:v>GTFS ZIP (CSV text tables); GTFS-RT (Protocol Buffers)</x:v>
      </x:c>
      <x:c r="G64" s="28" t="str">
        <x:v>Regional dataset; city filter required</x:v>
      </x:c>
      <x:c r="H64" s="28" t="str">
        <x:v>Region of Waterloo / Grand River Transit</x:v>
      </x:c>
      <x:c r="I64" s="28" t="str">
        <x:v>Operator GTFS download page</x:v>
      </x:c>
      <x:c r="J64" s="28" t="str"/>
      <x:c r="K64" s="28" t="str"/>
      <x:c r="L64" s="28" t="str">
        <x:v>https://www.grt.ca/about-grt/open-data/</x:v>
      </x:c>
      <x:c r="M64" s="28" t="str">
        <x:v>Region of Waterloo Open Data Licence</x:v>
      </x:c>
      <x:c r="N64" s="28" t="str">
        <x:v>See resource metadata</x:v>
      </x:c>
      <x:c r="O64" s="28" t="str">
        <x:v>Link / metadata located; payload not downloaded</x:v>
      </x:c>
      <x:c r="P64" s="28" t="str">
        <x:v>Publisher / government metadata documents the listed formats</x:v>
      </x:c>
      <x:c r="Q64" s="28" t="str">
        <x:v>One shared regional feed covering Kitchener, Waterloo and Cambridge. Repeated city coverage records do not represent different underlying datasets. Static GTFS is the easier batch-analysis format.</x:v>
      </x:c>
      <x:c r="R64" s="28" t="str">
        <x:v>https://www.grt.ca/about-grt/open-data/</x:v>
      </x:c>
      <x:c r="S64" s="28" t="str">
        <x:v>2026-10-07</x:v>
      </x:c>
      <x:c r="T64" s="28" t="str">
        <x:v>DS-4ad82b4b4903</x:v>
      </x:c>
      <x:c r="U64" s="28" t="str">
        <x:v>CA-0078</x:v>
      </x:c>
      <x:c r="V64" s="28" t="str"/>
      <x:c r="W64" t="n">
        <x:f>IF(COUNTIF($T$5:T64,T64)=1,1,0)</x:f>
        <x:v>1</x:v>
      </x:c>
    </x:row>
    <x:row r="65" ht="94" customHeight="1">
      <x:c r="A65" s="28" t="str">
        <x:v>Guelph</x:v>
      </x:c>
      <x:c r="B65" s="28" t="str">
        <x:v>ON</x:v>
      </x:c>
      <x:c r="C65" s="28" t="str">
        <x:v>Parks</x:v>
      </x:c>
      <x:c r="D65" s="28" t="str">
        <x:v>Parks and recreation</x:v>
      </x:c>
      <x:c r="E65" s="28" t="str">
        <x:v>D</x:v>
      </x:c>
      <x:c r="F65" s="28" t="str">
        <x:v>Unconfirmed: CSV / GeoJSON / SHP target formats</x:v>
      </x:c>
      <x:c r="G65" s="28" t="str">
        <x:v>Municipal dataset</x:v>
      </x:c>
      <x:c r="H65" s="28" t="str">
        <x:v>City of Guelph</x:v>
      </x:c>
      <x:c r="I65" s="28" t="str">
        <x:v>ArcGIS Hub Download / service API</x:v>
      </x:c>
      <x:c r="J65" s="28" t="str"/>
      <x:c r="K65" s="28" t="str"/>
      <x:c r="L65" s="28" t="str">
        <x:v>https://geodatahub-cityofguelph.opendata.arcgis.com/datasets/31c79f60e5e44745b343dc7767418944_5/explore</x:v>
      </x:c>
      <x:c r="M65" s="28" t="str">
        <x:v>See dataset licence</x:v>
      </x:c>
      <x:c r="N65" s="28" t="str">
        <x:v>See resource metadata</x:v>
      </x:c>
      <x:c r="O65" s="28" t="str">
        <x:v>Link / metadata located; payload not downloaded</x:v>
      </x:c>
      <x:c r="P65" s="28" t="str">
        <x:v>Specific dataset lead; per-resource export formats need verification</x:v>
      </x:c>
      <x:c r="Q65" s="28" t="str">
        <x:v> Use GeoJSON/SHP to retain geometry; inspect layer export options.</x:v>
      </x:c>
      <x:c r="R65" s="28" t="str">
        <x:v>https://www150.statcan.gc.ca/n1/pub/21-26-0002/2021001/meta-eng.htm</x:v>
      </x:c>
      <x:c r="S65" s="28" t="str">
        <x:v>2026-10-07</x:v>
      </x:c>
      <x:c r="T65" s="28" t="str">
        <x:v>DS-f07f4e3df237</x:v>
      </x:c>
      <x:c r="U65" s="28" t="str">
        <x:v>CA-0080</x:v>
      </x:c>
      <x:c r="V65" s="28" t="str">
        <x:v>https://www.arcgis.com/sharing/rest/content/items/31c79f60e5e44745b343dc7767418944?f=pjson</x:v>
      </x:c>
      <x:c r="W65" t="n">
        <x:f>IF(COUNTIF($T$5:T65,T65)=1,1,0)</x:f>
        <x:v>1</x:v>
      </x:c>
    </x:row>
    <x:row r="66" ht="94" customHeight="1">
      <x:c r="A66" s="28" t="str">
        <x:v>Guelph</x:v>
      </x:c>
      <x:c r="B66" s="28" t="str">
        <x:v>ON</x:v>
      </x:c>
      <x:c r="C66" s="28" t="str">
        <x:v>Trails</x:v>
      </x:c>
      <x:c r="D66" s="28" t="str">
        <x:v>Parks and recreation</x:v>
      </x:c>
      <x:c r="E66" s="28" t="str">
        <x:v>D</x:v>
      </x:c>
      <x:c r="F66" s="28" t="str">
        <x:v>Unconfirmed: CSV / GeoJSON / SHP target formats</x:v>
      </x:c>
      <x:c r="G66" s="28" t="str">
        <x:v>Municipal dataset</x:v>
      </x:c>
      <x:c r="H66" s="28" t="str">
        <x:v>City of Guelph</x:v>
      </x:c>
      <x:c r="I66" s="28" t="str">
        <x:v>ArcGIS Hub Download / service API</x:v>
      </x:c>
      <x:c r="J66" s="28" t="str"/>
      <x:c r="K66" s="28" t="str"/>
      <x:c r="L66" s="28" t="str">
        <x:v>https://geodatahub-cityofguelph.opendata.arcgis.com/datasets/4e1d3347e6e045a4bf3528cc65161c9b_21/explore</x:v>
      </x:c>
      <x:c r="M66" s="28" t="str">
        <x:v>See dataset licence</x:v>
      </x:c>
      <x:c r="N66" s="28" t="str">
        <x:v>See resource metadata</x:v>
      </x:c>
      <x:c r="O66" s="28" t="str">
        <x:v>Link / metadata located; payload not downloaded</x:v>
      </x:c>
      <x:c r="P66" s="28" t="str">
        <x:v>Specific dataset lead; per-resource export formats need verification</x:v>
      </x:c>
      <x:c r="Q66" s="28" t="str">
        <x:v> Use GeoJSON/SHP to retain geometry; inspect layer export options.</x:v>
      </x:c>
      <x:c r="R66" s="28" t="str">
        <x:v>https://www150.statcan.gc.ca/n1/pub/21-26-0002/2021001/meta-eng.htm</x:v>
      </x:c>
      <x:c r="S66" s="28" t="str">
        <x:v>2026-10-07</x:v>
      </x:c>
      <x:c r="T66" s="28" t="str">
        <x:v>DS-c149a52741c8</x:v>
      </x:c>
      <x:c r="U66" s="28" t="str">
        <x:v>CA-0081</x:v>
      </x:c>
      <x:c r="V66" s="28" t="str">
        <x:v>https://www.arcgis.com/sharing/rest/content/items/4e1d3347e6e045a4bf3528cc65161c9b?f=pjson</x:v>
      </x:c>
      <x:c r="W66" t="n">
        <x:f>IF(COUNTIF($T$5:T66,T66)=1,1,0)</x:f>
        <x:v>1</x:v>
      </x:c>
    </x:row>
    <x:row r="67" ht="94" customHeight="1">
      <x:c r="A67" s="28" t="str">
        <x:v>Hamilton</x:v>
      </x:c>
      <x:c r="B67" s="28" t="str">
        <x:v>ON</x:v>
      </x:c>
      <x:c r="C67" s="28" t="str">
        <x:v>Addresses</x:v>
      </x:c>
      <x:c r="D67" s="28" t="str">
        <x:v>Addresses</x:v>
      </x:c>
      <x:c r="E67" s="28" t="str">
        <x:v>D</x:v>
      </x:c>
      <x:c r="F67" s="28" t="str">
        <x:v>Unconfirmed: CSV / GeoJSON / SHP target formats</x:v>
      </x:c>
      <x:c r="G67" s="28" t="str">
        <x:v>Municipal dataset</x:v>
      </x:c>
      <x:c r="H67" s="28" t="str">
        <x:v>City of Hamilton</x:v>
      </x:c>
      <x:c r="I67" s="28" t="str">
        <x:v>ArcGIS Hub Download / service API</x:v>
      </x:c>
      <x:c r="J67" s="28" t="str"/>
      <x:c r="K67" s="28" t="str"/>
      <x:c r="L67" s="28" t="str">
        <x:v>https://open.hamilton.ca/datasets/89a6c5bf4ee44fc89719584a8f78d0b2_1/explore</x:v>
      </x:c>
      <x:c r="M67" s="28" t="str">
        <x:v>See dataset licence</x:v>
      </x:c>
      <x:c r="N67" s="28" t="str">
        <x:v>See resource metadata</x:v>
      </x:c>
      <x:c r="O67" s="28" t="str">
        <x:v>Link / metadata located; payload not downloaded</x:v>
      </x:c>
      <x:c r="P67" s="28" t="str">
        <x:v>Specific dataset lead; per-resource export formats need verification</x:v>
      </x:c>
      <x:c r="Q67" s="28" t="str">
        <x:v> Use GeoJSON/SHP to retain geometry; inspect layer export options.</x:v>
      </x:c>
      <x:c r="R67" s="28" t="str">
        <x:v>https://www150.statcan.gc.ca/n1/pub/34-26-0001/2018001/metadata-eng.htm</x:v>
      </x:c>
      <x:c r="S67" s="28" t="str">
        <x:v>2026-10-07</x:v>
      </x:c>
      <x:c r="T67" s="28" t="str">
        <x:v>DS-fc44570bfbaa</x:v>
      </x:c>
      <x:c r="U67" s="28" t="str">
        <x:v>CA-0057</x:v>
      </x:c>
      <x:c r="V67" s="28" t="str">
        <x:v>https://www.arcgis.com/sharing/rest/content/items/89a6c5bf4ee44fc89719584a8f78d0b2?f=pjson</x:v>
      </x:c>
      <x:c r="W67" t="n">
        <x:f>IF(COUNTIF($T$5:T67,T67)=1,1,0)</x:f>
        <x:v>1</x:v>
      </x:c>
    </x:row>
    <x:row r="68" ht="94" customHeight="1">
      <x:c r="A68" s="28" t="str">
        <x:v>Hamilton</x:v>
      </x:c>
      <x:c r="B68" s="28" t="str">
        <x:v>ON</x:v>
      </x:c>
      <x:c r="C68" s="28" t="str">
        <x:v>Buildings</x:v>
      </x:c>
      <x:c r="D68" s="28" t="str">
        <x:v>Buildings</x:v>
      </x:c>
      <x:c r="E68" s="28" t="str">
        <x:v>D</x:v>
      </x:c>
      <x:c r="F68" s="28" t="str">
        <x:v>Unconfirmed: CSV / GeoJSON / SHP target formats</x:v>
      </x:c>
      <x:c r="G68" s="28" t="str">
        <x:v>Municipal dataset</x:v>
      </x:c>
      <x:c r="H68" s="28" t="str">
        <x:v>City of Hamilton</x:v>
      </x:c>
      <x:c r="I68" s="28" t="str">
        <x:v>ArcGIS Hub Download / service API</x:v>
      </x:c>
      <x:c r="J68" s="28" t="str"/>
      <x:c r="K68" s="28" t="str"/>
      <x:c r="L68" s="28" t="str">
        <x:v>https://open.hamilton.ca/datasets/6af6534637e241a8b46ae83c419673d5_8/explore</x:v>
      </x:c>
      <x:c r="M68" s="28" t="str">
        <x:v>See dataset licence</x:v>
      </x:c>
      <x:c r="N68" s="28" t="str">
        <x:v>See resource metadata</x:v>
      </x:c>
      <x:c r="O68" s="28" t="str">
        <x:v>Link / metadata located; payload not downloaded</x:v>
      </x:c>
      <x:c r="P68" s="28" t="str">
        <x:v>Specific dataset lead; per-resource export formats need verification</x:v>
      </x:c>
      <x:c r="Q68" s="28" t="str">
        <x:v> Use GeoJSON/SHP to retain geometry; inspect layer export options.</x:v>
      </x:c>
      <x:c r="R68" s="28" t="str">
        <x:v>https://www150.statcan.gc.ca/n1/pub/34-26-0001/2018001/metadata-eng.htm</x:v>
      </x:c>
      <x:c r="S68" s="28" t="str">
        <x:v>2026-10-07</x:v>
      </x:c>
      <x:c r="T68" s="28" t="str">
        <x:v>DS-e383880c057d</x:v>
      </x:c>
      <x:c r="U68" s="28" t="str">
        <x:v>CA-0056</x:v>
      </x:c>
      <x:c r="V68" s="28" t="str">
        <x:v>https://www.arcgis.com/sharing/rest/content/items/6af6534637e241a8b46ae83c419673d5?f=pjson</x:v>
      </x:c>
      <x:c r="W68" t="n">
        <x:f>IF(COUNTIF($T$5:T68,T68)=1,1,0)</x:f>
        <x:v>1</x:v>
      </x:c>
    </x:row>
    <x:row r="69" ht="94" customHeight="1">
      <x:c r="A69" s="28" t="str">
        <x:v>Hamilton</x:v>
      </x:c>
      <x:c r="B69" s="28" t="str">
        <x:v>ON</x:v>
      </x:c>
      <x:c r="C69" s="28" t="str">
        <x:v>Libraries</x:v>
      </x:c>
      <x:c r="D69" s="28" t="str">
        <x:v>Public facilities</x:v>
      </x:c>
      <x:c r="E69" s="28" t="str">
        <x:v>D</x:v>
      </x:c>
      <x:c r="F69" s="28" t="str">
        <x:v>Unconfirmed: CSV / GeoJSON / SHP target formats</x:v>
      </x:c>
      <x:c r="G69" s="28" t="str">
        <x:v>Municipal dataset</x:v>
      </x:c>
      <x:c r="H69" s="28" t="str">
        <x:v>City of Hamilton</x:v>
      </x:c>
      <x:c r="I69" s="28" t="str">
        <x:v>ArcGIS Hub Download / service API</x:v>
      </x:c>
      <x:c r="J69" s="28" t="str"/>
      <x:c r="K69" s="28" t="str"/>
      <x:c r="L69" s="28" t="str">
        <x:v>https://open.hamilton.ca/datasets/6a731296567441b28d85d8c9c2713421_1/explore</x:v>
      </x:c>
      <x:c r="M69" s="28" t="str">
        <x:v>See dataset licence</x:v>
      </x:c>
      <x:c r="N69" s="28" t="str">
        <x:v>See resource metadata</x:v>
      </x:c>
      <x:c r="O69" s="28" t="str">
        <x:v>Link / metadata located; payload not downloaded</x:v>
      </x:c>
      <x:c r="P69" s="28" t="str">
        <x:v>Specific dataset lead; per-resource export formats need verification</x:v>
      </x:c>
      <x:c r="Q69" s="28" t="str">
        <x:v> Use GeoJSON/SHP to retain geometry; inspect layer export options.</x:v>
      </x:c>
      <x:c r="R69" s="28" t="str">
        <x:v>https://www150.statcan.gc.ca/n1/pub/34-26-0001/2018001/metadata-eng.htm</x:v>
      </x:c>
      <x:c r="S69" s="28" t="str">
        <x:v>2026-10-07</x:v>
      </x:c>
      <x:c r="T69" s="28" t="str">
        <x:v>DS-f21190e87370</x:v>
      </x:c>
      <x:c r="U69" s="28" t="str">
        <x:v>CA-0058</x:v>
      </x:c>
      <x:c r="V69" s="28" t="str">
        <x:v>https://www.arcgis.com/sharing/rest/content/items/6a731296567441b28d85d8c9c2713421?f=pjson</x:v>
      </x:c>
      <x:c r="W69" t="n">
        <x:f>IF(COUNTIF($T$5:T69,T69)=1,1,0)</x:f>
        <x:v>1</x:v>
      </x:c>
    </x:row>
    <x:row r="70" ht="94" customHeight="1">
      <x:c r="A70" s="28" t="str">
        <x:v>Kingston</x:v>
      </x:c>
      <x:c r="B70" s="28" t="str">
        <x:v>ON</x:v>
      </x:c>
      <x:c r="C70" s="28" t="str">
        <x:v>Buildings</x:v>
      </x:c>
      <x:c r="D70" s="28" t="str">
        <x:v>Buildings</x:v>
      </x:c>
      <x:c r="E70" s="28" t="str">
        <x:v>D</x:v>
      </x:c>
      <x:c r="F70" s="28" t="str">
        <x:v>Unconfirmed: CSV / GeoJSON / SHP target formats</x:v>
      </x:c>
      <x:c r="G70" s="28" t="str">
        <x:v>Municipal dataset</x:v>
      </x:c>
      <x:c r="H70" s="28" t="str">
        <x:v>City of Kingston</x:v>
      </x:c>
      <x:c r="I70" s="28" t="str">
        <x:v>ArcGIS Hub Download / service API</x:v>
      </x:c>
      <x:c r="J70" s="28" t="str"/>
      <x:c r="K70" s="28" t="str"/>
      <x:c r="L70" s="28" t="str">
        <x:v>https://opendatakingston.cityofkingston.ca/datasets/e115ad1b7c444238820cc5b3c24f6e6b_1/explore</x:v>
      </x:c>
      <x:c r="M70" s="28" t="str">
        <x:v>See dataset licence</x:v>
      </x:c>
      <x:c r="N70" s="28" t="str">
        <x:v>See resource metadata</x:v>
      </x:c>
      <x:c r="O70" s="28" t="str">
        <x:v>Link / metadata located; payload not downloaded</x:v>
      </x:c>
      <x:c r="P70" s="28" t="str">
        <x:v>Specific dataset lead; per-resource export formats need verification</x:v>
      </x:c>
      <x:c r="Q70" s="28" t="str">
        <x:v> Use GeoJSON/SHP to retain geometry; inspect layer export options.</x:v>
      </x:c>
      <x:c r="R70" s="28" t="str">
        <x:v>https://www150.statcan.gc.ca/n1/pub/34-26-0001/2018001/metadata-eng.htm</x:v>
      </x:c>
      <x:c r="S70" s="28" t="str">
        <x:v>2026-10-07</x:v>
      </x:c>
      <x:c r="T70" s="28" t="str">
        <x:v>DS-ad59c8b708a1</x:v>
      </x:c>
      <x:c r="U70" s="28" t="str">
        <x:v>CA-0060</x:v>
      </x:c>
      <x:c r="V70" s="28" t="str">
        <x:v>https://www.arcgis.com/sharing/rest/content/items/e115ad1b7c444238820cc5b3c24f6e6b?f=pjson</x:v>
      </x:c>
      <x:c r="W70" t="n">
        <x:f>IF(COUNTIF($T$5:T70,T70)=1,1,0)</x:f>
        <x:v>1</x:v>
      </x:c>
    </x:row>
    <x:row r="71" ht="94" customHeight="1">
      <x:c r="A71" s="28" t="str">
        <x:v>Kingston</x:v>
      </x:c>
      <x:c r="B71" s="28" t="str">
        <x:v>ON</x:v>
      </x:c>
      <x:c r="C71" s="28" t="str">
        <x:v>Civic address points</x:v>
      </x:c>
      <x:c r="D71" s="28" t="str">
        <x:v>Addresses</x:v>
      </x:c>
      <x:c r="E71" s="28" t="str">
        <x:v>D</x:v>
      </x:c>
      <x:c r="F71" s="28" t="str">
        <x:v>Unconfirmed: CSV / GeoJSON / SHP target formats</x:v>
      </x:c>
      <x:c r="G71" s="28" t="str">
        <x:v>Municipal dataset</x:v>
      </x:c>
      <x:c r="H71" s="28" t="str">
        <x:v>City of Kingston</x:v>
      </x:c>
      <x:c r="I71" s="28" t="str">
        <x:v>ArcGIS Hub Download / service API</x:v>
      </x:c>
      <x:c r="J71" s="28" t="str"/>
      <x:c r="K71" s="28" t="str"/>
      <x:c r="L71" s="28" t="str">
        <x:v>https://opendatakingston.cityofkingston.ca/datasets/d76e1fe447e84cb1983c76e1cb9dadb4_0/explore</x:v>
      </x:c>
      <x:c r="M71" s="28" t="str">
        <x:v>See dataset licence</x:v>
      </x:c>
      <x:c r="N71" s="28" t="str">
        <x:v>See resource metadata</x:v>
      </x:c>
      <x:c r="O71" s="28" t="str">
        <x:v>Link / metadata located; payload not downloaded</x:v>
      </x:c>
      <x:c r="P71" s="28" t="str">
        <x:v>Specific dataset lead; per-resource export formats need verification</x:v>
      </x:c>
      <x:c r="Q71" s="28" t="str">
        <x:v> Use GeoJSON/SHP to retain geometry; inspect layer export options.</x:v>
      </x:c>
      <x:c r="R71" s="28" t="str">
        <x:v>https://www150.statcan.gc.ca/n1/pub/34-26-0001/2018001/metadata-eng.htm</x:v>
      </x:c>
      <x:c r="S71" s="28" t="str">
        <x:v>2026-10-07</x:v>
      </x:c>
      <x:c r="T71" s="28" t="str">
        <x:v>DS-c19dfa91394f</x:v>
      </x:c>
      <x:c r="U71" s="28" t="str">
        <x:v>CA-0059</x:v>
      </x:c>
      <x:c r="V71" s="28" t="str">
        <x:v>https://www.arcgis.com/sharing/rest/content/items/d76e1fe447e84cb1983c76e1cb9dadb4?f=pjson</x:v>
      </x:c>
      <x:c r="W71" t="n">
        <x:f>IF(COUNTIF($T$5:T71,T71)=1,1,0)</x:f>
        <x:v>1</x:v>
      </x:c>
    </x:row>
    <x:row r="72" ht="94" customHeight="1">
      <x:c r="A72" s="28" t="str">
        <x:v>Kingston</x:v>
      </x:c>
      <x:c r="B72" s="28" t="str">
        <x:v>ON</x:v>
      </x:c>
      <x:c r="C72" s="28" t="str">
        <x:v>Libraries</x:v>
      </x:c>
      <x:c r="D72" s="28" t="str">
        <x:v>Public facilities</x:v>
      </x:c>
      <x:c r="E72" s="28" t="str">
        <x:v>D</x:v>
      </x:c>
      <x:c r="F72" s="28" t="str">
        <x:v>Unconfirmed: CSV / GeoJSON / SHP target formats</x:v>
      </x:c>
      <x:c r="G72" s="28" t="str">
        <x:v>Municipal dataset</x:v>
      </x:c>
      <x:c r="H72" s="28" t="str">
        <x:v>City of Kingston</x:v>
      </x:c>
      <x:c r="I72" s="28" t="str">
        <x:v>ArcGIS Hub Download / service API</x:v>
      </x:c>
      <x:c r="J72" s="28" t="str"/>
      <x:c r="K72" s="28" t="str"/>
      <x:c r="L72" s="28" t="str">
        <x:v>https://opendatakingston.cityofkingston.ca/datasets/bb0a33f3a90e45f086cf62d0663398fb_62/explore</x:v>
      </x:c>
      <x:c r="M72" s="28" t="str">
        <x:v>See dataset licence</x:v>
      </x:c>
      <x:c r="N72" s="28" t="str">
        <x:v>See resource metadata</x:v>
      </x:c>
      <x:c r="O72" s="28" t="str">
        <x:v>Link / metadata located; payload not downloaded</x:v>
      </x:c>
      <x:c r="P72" s="28" t="str">
        <x:v>Specific dataset lead; per-resource export formats need verification</x:v>
      </x:c>
      <x:c r="Q72" s="28" t="str">
        <x:v> Use GeoJSON/SHP to retain geometry; inspect layer export options.</x:v>
      </x:c>
      <x:c r="R72" s="28" t="str">
        <x:v>https://www150.statcan.gc.ca/n1/pub/34-26-0001/2018001/metadata-eng.htm</x:v>
      </x:c>
      <x:c r="S72" s="28" t="str">
        <x:v>2026-10-07</x:v>
      </x:c>
      <x:c r="T72" s="28" t="str">
        <x:v>DS-93af943e4915</x:v>
      </x:c>
      <x:c r="U72" s="28" t="str">
        <x:v>CA-0061</x:v>
      </x:c>
      <x:c r="V72" s="28" t="str">
        <x:v>https://www.arcgis.com/sharing/rest/content/items/bb0a33f3a90e45f086cf62d0663398fb?f=pjson</x:v>
      </x:c>
      <x:c r="W72" t="n">
        <x:f>IF(COUNTIF($T$5:T72,T72)=1,1,0)</x:f>
        <x:v>1</x:v>
      </x:c>
    </x:row>
    <x:row r="73" ht="94" customHeight="1">
      <x:c r="A73" s="28" t="str">
        <x:v>Kitchener</x:v>
      </x:c>
      <x:c r="B73" s="28" t="str">
        <x:v>ON</x:v>
      </x:c>
      <x:c r="C73" s="28" t="str">
        <x:v>Grand River Transit schedules, stops and routes</x:v>
      </x:c>
      <x:c r="D73" s="28" t="str">
        <x:v>Transit</x:v>
      </x:c>
      <x:c r="E73" s="28" t="str">
        <x:v>B</x:v>
      </x:c>
      <x:c r="F73" s="28" t="str">
        <x:v>GTFS ZIP (CSV text tables); GTFS-RT (Protocol Buffers)</x:v>
      </x:c>
      <x:c r="G73" s="28" t="str">
        <x:v>Regional dataset; city filter required</x:v>
      </x:c>
      <x:c r="H73" s="28" t="str">
        <x:v>Region of Waterloo / Grand River Transit</x:v>
      </x:c>
      <x:c r="I73" s="28" t="str">
        <x:v>Operator GTFS download page</x:v>
      </x:c>
      <x:c r="J73" s="28" t="str"/>
      <x:c r="K73" s="28" t="str"/>
      <x:c r="L73" s="28" t="str">
        <x:v>https://www.grt.ca/about-grt/open-data/</x:v>
      </x:c>
      <x:c r="M73" s="28" t="str">
        <x:v>Region of Waterloo Open Data Licence</x:v>
      </x:c>
      <x:c r="N73" s="28" t="str">
        <x:v>See resource metadata</x:v>
      </x:c>
      <x:c r="O73" s="28" t="str">
        <x:v>Link / metadata located; payload not downloaded</x:v>
      </x:c>
      <x:c r="P73" s="28" t="str">
        <x:v>Publisher / government metadata documents the listed formats</x:v>
      </x:c>
      <x:c r="Q73" s="28" t="str">
        <x:v>One shared regional feed covering Kitchener, Waterloo and Cambridge. Repeated city coverage records do not represent different underlying datasets. Static GTFS is the easier batch-analysis format.</x:v>
      </x:c>
      <x:c r="R73" s="28" t="str">
        <x:v>https://www.grt.ca/about-grt/open-data/</x:v>
      </x:c>
      <x:c r="S73" s="28" t="str">
        <x:v>2026-10-07</x:v>
      </x:c>
      <x:c r="T73" s="28" t="str">
        <x:v>DS-4ad82b4b4903</x:v>
      </x:c>
      <x:c r="U73" s="28" t="str">
        <x:v>CA-0076</x:v>
      </x:c>
      <x:c r="V73" s="28" t="str"/>
      <x:c r="W73" t="n">
        <x:f>IF(COUNTIF($T$5:T73,T73)=1,1,0)</x:f>
        <x:v>0</x:v>
      </x:c>
    </x:row>
    <x:row r="74" ht="94" customHeight="1">
      <x:c r="A74" s="28" t="str">
        <x:v>Kitchener</x:v>
      </x:c>
      <x:c r="B74" s="28" t="str">
        <x:v>ON</x:v>
      </x:c>
      <x:c r="C74" s="28" t="str">
        <x:v>Community centres</x:v>
      </x:c>
      <x:c r="D74" s="28" t="str">
        <x:v>Public facilities</x:v>
      </x:c>
      <x:c r="E74" s="28" t="str">
        <x:v>D</x:v>
      </x:c>
      <x:c r="F74" s="28" t="str">
        <x:v>Unconfirmed: CSV / GeoJSON / SHP target formats</x:v>
      </x:c>
      <x:c r="G74" s="28" t="str">
        <x:v>Municipal dataset</x:v>
      </x:c>
      <x:c r="H74" s="28" t="str">
        <x:v>City of Kitchener</x:v>
      </x:c>
      <x:c r="I74" s="28" t="str">
        <x:v>ArcGIS Hub Download / service API</x:v>
      </x:c>
      <x:c r="J74" s="28" t="str"/>
      <x:c r="K74" s="28" t="str"/>
      <x:c r="L74" s="28" t="str">
        <x:v>https://open-kitchenergis.opendata.arcgis.com/datasets/daeb44b4880140f88561840efe3ccfbe_0/explore</x:v>
      </x:c>
      <x:c r="M74" s="28" t="str">
        <x:v>See dataset licence</x:v>
      </x:c>
      <x:c r="N74" s="28" t="str">
        <x:v>See resource metadata</x:v>
      </x:c>
      <x:c r="O74" s="28" t="str">
        <x:v>Link / metadata located; payload not downloaded</x:v>
      </x:c>
      <x:c r="P74" s="28" t="str">
        <x:v>Specific dataset lead; per-resource export formats need verification</x:v>
      </x:c>
      <x:c r="Q74" s="28" t="str">
        <x:v> Use GeoJSON/SHP to retain geometry; inspect layer export options.</x:v>
      </x:c>
      <x:c r="R74" s="28" t="str">
        <x:v>https://www150.statcan.gc.ca/n1/pub/21-26-0002/2021001/meta-eng.htm</x:v>
      </x:c>
      <x:c r="S74" s="28" t="str">
        <x:v>2026-10-07</x:v>
      </x:c>
      <x:c r="T74" s="28" t="str">
        <x:v>DS-6e5dda3de79c</x:v>
      </x:c>
      <x:c r="U74" s="28" t="str">
        <x:v>CA-0047</x:v>
      </x:c>
      <x:c r="V74" s="28" t="str">
        <x:v>https://www.arcgis.com/sharing/rest/content/items/daeb44b4880140f88561840efe3ccfbe?f=pjson</x:v>
      </x:c>
      <x:c r="W74" t="n">
        <x:f>IF(COUNTIF($T$5:T74,T74)=1,1,0)</x:f>
        <x:v>1</x:v>
      </x:c>
    </x:row>
    <x:row r="75" ht="94" customHeight="1">
      <x:c r="A75" s="28" t="str">
        <x:v>Kitchener</x:v>
      </x:c>
      <x:c r="B75" s="28" t="str">
        <x:v>ON</x:v>
      </x:c>
      <x:c r="C75" s="28" t="str">
        <x:v>Parks</x:v>
      </x:c>
      <x:c r="D75" s="28" t="str">
        <x:v>Parks and recreation</x:v>
      </x:c>
      <x:c r="E75" s="28" t="str">
        <x:v>D</x:v>
      </x:c>
      <x:c r="F75" s="28" t="str">
        <x:v>Unconfirmed: CSV / GeoJSON / SHP target formats</x:v>
      </x:c>
      <x:c r="G75" s="28" t="str">
        <x:v>Municipal dataset</x:v>
      </x:c>
      <x:c r="H75" s="28" t="str">
        <x:v>City of Kitchener</x:v>
      </x:c>
      <x:c r="I75" s="28" t="str">
        <x:v>ArcGIS Hub Download / service API</x:v>
      </x:c>
      <x:c r="J75" s="28" t="str"/>
      <x:c r="K75" s="28" t="str"/>
      <x:c r="L75" s="28" t="str">
        <x:v>https://open-kitchenergis.opendata.arcgis.com/datasets/5586508b64724e1bb29b313d218460ff_0/explore</x:v>
      </x:c>
      <x:c r="M75" s="28" t="str">
        <x:v>See dataset licence</x:v>
      </x:c>
      <x:c r="N75" s="28" t="str">
        <x:v>See resource metadata</x:v>
      </x:c>
      <x:c r="O75" s="28" t="str">
        <x:v>Link / metadata located; payload not downloaded</x:v>
      </x:c>
      <x:c r="P75" s="28" t="str">
        <x:v>Specific dataset lead; per-resource export formats need verification</x:v>
      </x:c>
      <x:c r="Q75" s="28" t="str">
        <x:v> Use GeoJSON/SHP to retain geometry; inspect layer export options.</x:v>
      </x:c>
      <x:c r="R75" s="28" t="str">
        <x:v>https://www150.statcan.gc.ca/n1/pub/21-26-0002/2021001/meta-eng.htm</x:v>
      </x:c>
      <x:c r="S75" s="28" t="str">
        <x:v>2026-10-07</x:v>
      </x:c>
      <x:c r="T75" s="28" t="str">
        <x:v>DS-f7cf3ffb4eb1</x:v>
      </x:c>
      <x:c r="U75" s="28" t="str">
        <x:v>CA-0048</x:v>
      </x:c>
      <x:c r="V75" s="28" t="str">
        <x:v>https://www.arcgis.com/sharing/rest/content/items/5586508b64724e1bb29b313d218460ff?f=pjson</x:v>
      </x:c>
      <x:c r="W75" t="n">
        <x:f>IF(COUNTIF($T$5:T75,T75)=1,1,0)</x:f>
        <x:v>1</x:v>
      </x:c>
    </x:row>
    <x:row r="76" ht="94" customHeight="1">
      <x:c r="A76" s="28" t="str">
        <x:v>Kitchener</x:v>
      </x:c>
      <x:c r="B76" s="28" t="str">
        <x:v>ON</x:v>
      </x:c>
      <x:c r="C76" s="28" t="str">
        <x:v>Trails</x:v>
      </x:c>
      <x:c r="D76" s="28" t="str">
        <x:v>Transportation</x:v>
      </x:c>
      <x:c r="E76" s="28" t="str">
        <x:v>D</x:v>
      </x:c>
      <x:c r="F76" s="28" t="str">
        <x:v>Unconfirmed: CSV / GeoJSON / SHP target formats</x:v>
      </x:c>
      <x:c r="G76" s="28" t="str">
        <x:v>Municipal dataset</x:v>
      </x:c>
      <x:c r="H76" s="28" t="str">
        <x:v>City of Kitchener</x:v>
      </x:c>
      <x:c r="I76" s="28" t="str">
        <x:v>ArcGIS Hub Download / service API</x:v>
      </x:c>
      <x:c r="J76" s="28" t="str"/>
      <x:c r="K76" s="28" t="str"/>
      <x:c r="L76" s="28" t="str">
        <x:v>https://open-kitchenergis.opendata.arcgis.com/datasets/9c7082ba9a5b423690160de3d16f9ff4_0/explore</x:v>
      </x:c>
      <x:c r="M76" s="28" t="str">
        <x:v>See dataset licence</x:v>
      </x:c>
      <x:c r="N76" s="28" t="str">
        <x:v>See resource metadata</x:v>
      </x:c>
      <x:c r="O76" s="28" t="str">
        <x:v>Link / metadata located; payload not downloaded</x:v>
      </x:c>
      <x:c r="P76" s="28" t="str">
        <x:v>Specific dataset lead; per-resource export formats need verification</x:v>
      </x:c>
      <x:c r="Q76" s="28" t="str">
        <x:v> Use GeoJSON/SHP to retain geometry; inspect layer export options.</x:v>
      </x:c>
      <x:c r="R76" s="28" t="str">
        <x:v>https://www150.statcan.gc.ca/n1/pub/21-26-0002/2021001/meta-eng.htm</x:v>
      </x:c>
      <x:c r="S76" s="28" t="str">
        <x:v>2026-10-07</x:v>
      </x:c>
      <x:c r="T76" s="28" t="str">
        <x:v>DS-bd082b4bd10c</x:v>
      </x:c>
      <x:c r="U76" s="28" t="str">
        <x:v>CA-0046</x:v>
      </x:c>
      <x:c r="V76" s="28" t="str">
        <x:v>https://www.arcgis.com/sharing/rest/content/items/9c7082ba9a5b423690160de3d16f9ff4?f=pjson</x:v>
      </x:c>
      <x:c r="W76" t="n">
        <x:f>IF(COUNTIF($T$5:T76,T76)=1,1,0)</x:f>
        <x:v>1</x:v>
      </x:c>
    </x:row>
    <x:row r="77" ht="94" customHeight="1">
      <x:c r="A77" s="28" t="str">
        <x:v>London</x:v>
      </x:c>
      <x:c r="B77" s="28" t="str">
        <x:v>ON</x:v>
      </x:c>
      <x:c r="C77" s="28" t="str">
        <x:v>Park amenities</x:v>
      </x:c>
      <x:c r="D77" s="28" t="str">
        <x:v>Parks and recreation</x:v>
      </x:c>
      <x:c r="E77" s="28" t="str">
        <x:v>D</x:v>
      </x:c>
      <x:c r="F77" s="28" t="str">
        <x:v>Unconfirmed: CSV / GeoJSON / SHP target formats</x:v>
      </x:c>
      <x:c r="G77" s="28" t="str">
        <x:v>Municipal dataset</x:v>
      </x:c>
      <x:c r="H77" s="28" t="str">
        <x:v>City of London</x:v>
      </x:c>
      <x:c r="I77" s="28" t="str">
        <x:v>ArcGIS Hub Download / service API</x:v>
      </x:c>
      <x:c r="J77" s="28" t="str"/>
      <x:c r="K77" s="28" t="str"/>
      <x:c r="L77" s="28" t="str">
        <x:v>https://opendata.london.ca/datasets/716311972be047f39a5937247ed80a2c_1/explore</x:v>
      </x:c>
      <x:c r="M77" s="28" t="str">
        <x:v>See dataset licence</x:v>
      </x:c>
      <x:c r="N77" s="28" t="str">
        <x:v>See resource metadata</x:v>
      </x:c>
      <x:c r="O77" s="28" t="str">
        <x:v>Link / metadata located; payload not downloaded</x:v>
      </x:c>
      <x:c r="P77" s="28" t="str">
        <x:v>Specific dataset lead; per-resource export formats need verification</x:v>
      </x:c>
      <x:c r="Q77" s="28" t="str">
        <x:v> Use GeoJSON/SHP to retain geometry; inspect layer export options.</x:v>
      </x:c>
      <x:c r="R77" s="28" t="str">
        <x:v>https://www150.statcan.gc.ca/n1/pub/21-26-0002/2021001/meta-eng.htm</x:v>
      </x:c>
      <x:c r="S77" s="28" t="str">
        <x:v>2026-10-07</x:v>
      </x:c>
      <x:c r="T77" s="28" t="str">
        <x:v>DS-563fd0dac906</x:v>
      </x:c>
      <x:c r="U77" s="28" t="str">
        <x:v>CA-0045</x:v>
      </x:c>
      <x:c r="V77" s="28" t="str">
        <x:v>https://www.arcgis.com/sharing/rest/content/items/716311972be047f39a5937247ed80a2c?f=pjson</x:v>
      </x:c>
      <x:c r="W77" t="n">
        <x:f>IF(COUNTIF($T$5:T77,T77)=1,1,0)</x:f>
        <x:v>1</x:v>
      </x:c>
    </x:row>
    <x:row r="78" ht="94" customHeight="1">
      <x:c r="A78" s="28" t="str">
        <x:v>London</x:v>
      </x:c>
      <x:c r="B78" s="28" t="str">
        <x:v>ON</x:v>
      </x:c>
      <x:c r="C78" s="28" t="str">
        <x:v>Parks</x:v>
      </x:c>
      <x:c r="D78" s="28" t="str">
        <x:v>Parks and recreation</x:v>
      </x:c>
      <x:c r="E78" s="28" t="str">
        <x:v>D</x:v>
      </x:c>
      <x:c r="F78" s="28" t="str">
        <x:v>Unconfirmed: CSV / GeoJSON / SHP target formats</x:v>
      </x:c>
      <x:c r="G78" s="28" t="str">
        <x:v>Municipal dataset</x:v>
      </x:c>
      <x:c r="H78" s="28" t="str">
        <x:v>City of London</x:v>
      </x:c>
      <x:c r="I78" s="28" t="str">
        <x:v>ArcGIS Hub Download / service API</x:v>
      </x:c>
      <x:c r="J78" s="28" t="str"/>
      <x:c r="K78" s="28" t="str"/>
      <x:c r="L78" s="28" t="str">
        <x:v>https://opendata.london.ca/datasets/83b7006bcc8e43ee88c434a85e5a857e_3/explore</x:v>
      </x:c>
      <x:c r="M78" s="28" t="str">
        <x:v>See dataset licence</x:v>
      </x:c>
      <x:c r="N78" s="28" t="str">
        <x:v>See resource metadata</x:v>
      </x:c>
      <x:c r="O78" s="28" t="str">
        <x:v>Link / metadata located; payload not downloaded</x:v>
      </x:c>
      <x:c r="P78" s="28" t="str">
        <x:v>Specific dataset lead; per-resource export formats need verification</x:v>
      </x:c>
      <x:c r="Q78" s="28" t="str">
        <x:v> Use GeoJSON/SHP to retain geometry; inspect layer export options.</x:v>
      </x:c>
      <x:c r="R78" s="28" t="str">
        <x:v>https://www150.statcan.gc.ca/n1/pub/21-26-0002/2021001/meta-eng.htm</x:v>
      </x:c>
      <x:c r="S78" s="28" t="str">
        <x:v>2026-10-07</x:v>
      </x:c>
      <x:c r="T78" s="28" t="str">
        <x:v>DS-80cc942313cd</x:v>
      </x:c>
      <x:c r="U78" s="28" t="str">
        <x:v>CA-0044</x:v>
      </x:c>
      <x:c r="V78" s="28" t="str">
        <x:v>https://www.arcgis.com/sharing/rest/content/items/83b7006bcc8e43ee88c434a85e5a857e?f=pjson</x:v>
      </x:c>
      <x:c r="W78" t="n">
        <x:f>IF(COUNTIF($T$5:T78,T78)=1,1,0)</x:f>
        <x:v>1</x:v>
      </x:c>
    </x:row>
    <x:row r="79" ht="94" customHeight="1">
      <x:c r="A79" s="28" t="str">
        <x:v>Markham</x:v>
      </x:c>
      <x:c r="B79" s="28" t="str">
        <x:v>ON</x:v>
      </x:c>
      <x:c r="C79" s="28" t="str">
        <x:v>York Region municipal boundaries</x:v>
      </x:c>
      <x:c r="D79" s="28" t="str">
        <x:v>Boundaries</x:v>
      </x:c>
      <x:c r="E79" s="28" t="str">
        <x:v>D</x:v>
      </x:c>
      <x:c r="F79" s="28" t="str">
        <x:v>Unconfirmed: CSV / GeoJSON / SHP target formats</x:v>
      </x:c>
      <x:c r="G79" s="28" t="str">
        <x:v>Regional dataset; city filter required</x:v>
      </x:c>
      <x:c r="H79" s="28" t="str">
        <x:v>Regional Municipality of York</x:v>
      </x:c>
      <x:c r="I79" s="28" t="str">
        <x:v>ArcGIS Hub Download / service API</x:v>
      </x:c>
      <x:c r="J79" s="28" t="str"/>
      <x:c r="K79" s="28" t="str"/>
      <x:c r="L79" s="28" t="str">
        <x:v>https://data-markham.opendata.arcgis.com/datasets/york::municipal-boundary</x:v>
      </x:c>
      <x:c r="M79" s="28" t="str">
        <x:v>See dataset licence</x:v>
      </x:c>
      <x:c r="N79" s="28" t="str">
        <x:v>See resource metadata</x:v>
      </x:c>
      <x:c r="O79" s="28" t="str">
        <x:v>Link / metadata located; payload not downloaded</x:v>
      </x:c>
      <x:c r="P79" s="28" t="str">
        <x:v>Specific dataset lead; per-resource export formats need verification</x:v>
      </x:c>
      <x:c r="Q79" s="28" t="str">
        <x:v>Regional dataset covering York municipalities; select the municipality. Shared resource repeated for city coverage. Use GeoJSON/SHP to retain geometry; inspect layer export options.</x:v>
      </x:c>
      <x:c r="R79" s="28" t="str">
        <x:v>https://data-markham.opendata.arcgis.com/datasets/york::municipal-boundary</x:v>
      </x:c>
      <x:c r="S79" s="28" t="str">
        <x:v>2026-10-07</x:v>
      </x:c>
      <x:c r="T79" s="28" t="str">
        <x:v>DS-4a92734f05f2</x:v>
      </x:c>
      <x:c r="U79" s="28" t="str">
        <x:v>CA-0103</x:v>
      </x:c>
      <x:c r="V79" s="28" t="str"/>
      <x:c r="W79" t="n">
        <x:f>IF(COUNTIF($T$5:T79,T79)=1,1,0)</x:f>
        <x:v>1</x:v>
      </x:c>
    </x:row>
    <x:row r="80" ht="94" customHeight="1">
      <x:c r="A80" s="28" t="str">
        <x:v>Milton</x:v>
      </x:c>
      <x:c r="B80" s="28" t="str">
        <x:v>ON</x:v>
      </x:c>
      <x:c r="C80" s="28" t="str">
        <x:v>Parks</x:v>
      </x:c>
      <x:c r="D80" s="28" t="str">
        <x:v>Parks</x:v>
      </x:c>
      <x:c r="E80" s="28" t="str">
        <x:v>D</x:v>
      </x:c>
      <x:c r="F80" s="28" t="str">
        <x:v>Unconfirmed: CSV / GeoJSON / SHP target formats</x:v>
      </x:c>
      <x:c r="G80" s="28" t="str">
        <x:v>Municipal dataset</x:v>
      </x:c>
      <x:c r="H80" s="28" t="str">
        <x:v>Town of Milton</x:v>
      </x:c>
      <x:c r="I80" s="28" t="str">
        <x:v>ArcGIS Hub Download / service API</x:v>
      </x:c>
      <x:c r="J80" s="28" t="str"/>
      <x:c r="K80" s="28" t="str"/>
      <x:c r="L80" s="28" t="str">
        <x:v>https://discover-milton.hub.arcgis.com/datasets/2cc8d48935844265a35cfaf27b52d618_0/explore</x:v>
      </x:c>
      <x:c r="M80" s="28" t="str">
        <x:v>See dataset licence</x:v>
      </x:c>
      <x:c r="N80" s="28" t="str">
        <x:v>See resource metadata</x:v>
      </x:c>
      <x:c r="O80" s="28" t="str">
        <x:v>Link / metadata located; payload not downloaded</x:v>
      </x:c>
      <x:c r="P80" s="28" t="str">
        <x:v>Specific dataset lead; per-resource export formats need verification</x:v>
      </x:c>
      <x:c r="Q80" s="28" t="str">
        <x:v> Use GeoJSON/SHP to retain geometry; inspect layer export options.</x:v>
      </x:c>
      <x:c r="R80" s="28" t="str">
        <x:v>https://www150.statcan.gc.ca/n1/pub/21-26-0002/2021001/meta-eng.htm</x:v>
      </x:c>
      <x:c r="S80" s="28" t="str">
        <x:v>2026-10-07</x:v>
      </x:c>
      <x:c r="T80" s="28" t="str">
        <x:v>DS-15a0e1e142b6</x:v>
      </x:c>
      <x:c r="U80" s="28" t="str">
        <x:v>CA-0099</x:v>
      </x:c>
      <x:c r="V80" s="28" t="str">
        <x:v>https://www.arcgis.com/sharing/rest/content/items/2cc8d48935844265a35cfaf27b52d618?f=pjson</x:v>
      </x:c>
      <x:c r="W80" t="n">
        <x:f>IF(COUNTIF($T$5:T80,T80)=1,1,0)</x:f>
        <x:v>1</x:v>
      </x:c>
    </x:row>
    <x:row r="81" ht="94" customHeight="1">
      <x:c r="A81" s="28" t="str">
        <x:v>Milton</x:v>
      </x:c>
      <x:c r="B81" s="28" t="str">
        <x:v>ON</x:v>
      </x:c>
      <x:c r="C81" s="28" t="str">
        <x:v>Town facilities</x:v>
      </x:c>
      <x:c r="D81" s="28" t="str">
        <x:v>Facilities</x:v>
      </x:c>
      <x:c r="E81" s="28" t="str">
        <x:v>D</x:v>
      </x:c>
      <x:c r="F81" s="28" t="str">
        <x:v>Unconfirmed: CSV / GeoJSON / SHP target formats</x:v>
      </x:c>
      <x:c r="G81" s="28" t="str">
        <x:v>Municipal dataset</x:v>
      </x:c>
      <x:c r="H81" s="28" t="str">
        <x:v>Town of Milton</x:v>
      </x:c>
      <x:c r="I81" s="28" t="str">
        <x:v>ArcGIS Hub Download / service API</x:v>
      </x:c>
      <x:c r="J81" s="28" t="str"/>
      <x:c r="K81" s="28" t="str"/>
      <x:c r="L81" s="28" t="str">
        <x:v>https://discover-milton.hub.arcgis.com/datasets/77d33434e1914458aa94e127a99bea9e_0/explore</x:v>
      </x:c>
      <x:c r="M81" s="28" t="str">
        <x:v>See dataset licence</x:v>
      </x:c>
      <x:c r="N81" s="28" t="str">
        <x:v>See resource metadata</x:v>
      </x:c>
      <x:c r="O81" s="28" t="str">
        <x:v>Link / metadata located; payload not downloaded</x:v>
      </x:c>
      <x:c r="P81" s="28" t="str">
        <x:v>Specific dataset lead; per-resource export formats need verification</x:v>
      </x:c>
      <x:c r="Q81" s="28" t="str">
        <x:v> Use GeoJSON/SHP to retain geometry; inspect layer export options.</x:v>
      </x:c>
      <x:c r="R81" s="28" t="str">
        <x:v>https://www150.statcan.gc.ca/n1/pub/21-26-0002/2021001/meta-eng.htm</x:v>
      </x:c>
      <x:c r="S81" s="28" t="str">
        <x:v>2026-10-07</x:v>
      </x:c>
      <x:c r="T81" s="28" t="str">
        <x:v>DS-5894a85a077a</x:v>
      </x:c>
      <x:c r="U81" s="28" t="str">
        <x:v>CA-0100</x:v>
      </x:c>
      <x:c r="V81" s="28" t="str">
        <x:v>https://www.arcgis.com/sharing/rest/content/items/77d33434e1914458aa94e127a99bea9e?f=pjson</x:v>
      </x:c>
      <x:c r="W81" t="n">
        <x:f>IF(COUNTIF($T$5:T81,T81)=1,1,0)</x:f>
        <x:v>1</x:v>
      </x:c>
    </x:row>
    <x:row r="82" ht="94" customHeight="1">
      <x:c r="A82" s="28" t="str">
        <x:v>Mississauga</x:v>
      </x:c>
      <x:c r="B82" s="28" t="str">
        <x:v>ON</x:v>
      </x:c>
      <x:c r="C82" s="28" t="str">
        <x:v>City parks</x:v>
      </x:c>
      <x:c r="D82" s="28" t="str">
        <x:v>Parks</x:v>
      </x:c>
      <x:c r="E82" s="28" t="str">
        <x:v>D</x:v>
      </x:c>
      <x:c r="F82" s="28" t="str">
        <x:v>Unconfirmed: CSV / GeoJSON / SHP target formats</x:v>
      </x:c>
      <x:c r="G82" s="28" t="str">
        <x:v>Municipal dataset</x:v>
      </x:c>
      <x:c r="H82" s="28" t="str">
        <x:v>City of Mississauga</x:v>
      </x:c>
      <x:c r="I82" s="28" t="str">
        <x:v>ArcGIS Hub Download / service API</x:v>
      </x:c>
      <x:c r="J82" s="28" t="str"/>
      <x:c r="K82" s="28" t="str"/>
      <x:c r="L82" s="28" t="str">
        <x:v>https://data.mississauga.ca/datasets/4d99961d3f174c90aa1479e3c05550ab_0</x:v>
      </x:c>
      <x:c r="M82" s="28" t="str">
        <x:v>City of Mississauga open data terms of use</x:v>
      </x:c>
      <x:c r="N82" s="28" t="str">
        <x:v>See resource metadata</x:v>
      </x:c>
      <x:c r="O82" s="28" t="str">
        <x:v>Link / metadata located; payload not downloaded</x:v>
      </x:c>
      <x:c r="P82" s="28" t="str">
        <x:v>Specific dataset lead; per-resource export formats need verification</x:v>
      </x:c>
      <x:c r="Q82" s="28" t="str">
        <x:v> Use GeoJSON/SHP to retain geometry; inspect layer export options.</x:v>
      </x:c>
      <x:c r="R82" s="28" t="str">
        <x:v>https://www150.statcan.gc.ca/n1/pub/21-26-0002/2021001/meta-eng.htm</x:v>
      </x:c>
      <x:c r="S82" s="28" t="str">
        <x:v>2026-10-07</x:v>
      </x:c>
      <x:c r="T82" s="28" t="str">
        <x:v>DS-38e95dd9c244</x:v>
      </x:c>
      <x:c r="U82" s="28" t="str">
        <x:v>CA-0102</x:v>
      </x:c>
      <x:c r="V82" s="28" t="str">
        <x:v>https://www.arcgis.com/sharing/rest/content/items/4d99961d3f174c90aa1479e3c05550ab?f=pjson</x:v>
      </x:c>
      <x:c r="W82" t="n">
        <x:f>IF(COUNTIF($T$5:T82,T82)=1,1,0)</x:f>
        <x:v>1</x:v>
      </x:c>
    </x:row>
    <x:row r="83" ht="94" customHeight="1">
      <x:c r="A83" s="28" t="str">
        <x:v>Oshawa</x:v>
      </x:c>
      <x:c r="B83" s="28" t="str">
        <x:v>ON</x:v>
      </x:c>
      <x:c r="C83" s="28" t="str">
        <x:v>Annual average daily traffic</x:v>
      </x:c>
      <x:c r="D83" s="28" t="str">
        <x:v>Transport</x:v>
      </x:c>
      <x:c r="E83" s="28" t="str">
        <x:v>C</x:v>
      </x:c>
      <x:c r="F83" s="28" t="str">
        <x:v>JSON; GeoJSON</x:v>
      </x:c>
      <x:c r="G83" s="28" t="str">
        <x:v>Municipal dataset</x:v>
      </x:c>
      <x:c r="H83" s="28" t="str">
        <x:v>City of Oshawa</x:v>
      </x:c>
      <x:c r="I83" s="28" t="str">
        <x:v>ArcGIS REST layer query</x:v>
      </x:c>
      <x:c r="J83" s="28" t="str"/>
      <x:c r="K83" s="28" t="str">
        <x:v>https://map.oshawa.ca/arcgis/rest/services/Operational/OpenData/MapServer/20/query?where=1%3D1&amp;outFields=*&amp;outSR=4326&amp;f=geojson</x:v>
      </x:c>
      <x:c r="L83" s="28" t="str">
        <x:v>https://map.oshawa.ca/arcgis/rest/services/Operational/OpenData/MapServer/20</x:v>
      </x:c>
      <x:c r="M83" s="28" t="str">
        <x:v>See dataset licence</x:v>
      </x:c>
      <x:c r="N83" s="28" t="str">
        <x:v>See resource metadata</x:v>
      </x:c>
      <x:c r="O83" s="28" t="str">
        <x:v>Derived URL; not fetched</x:v>
      </x:c>
      <x:c r="P83" s="28" t="str">
        <x:v>Dataset located; endpoint constructed from platform or live service schema</x:v>
      </x:c>
      <x:c r="Q83" s="28" t="str">
        <x:v>Service advertises GeoJSON and JSON; maximum 1,000 records per request. Paginate or query object IDs. Request outSR=4326 for longitude/latitude.</x:v>
      </x:c>
      <x:c r="R83" s="28" t="str">
        <x:v>https://map.oshawa.ca/arcgis/rest/services/Operational/OpenData/MapServer</x:v>
      </x:c>
      <x:c r="S83" s="28" t="str">
        <x:v>2026-10-07</x:v>
      </x:c>
      <x:c r="T83" s="28" t="str">
        <x:v>DS-c37b84ad95c5</x:v>
      </x:c>
      <x:c r="U83" s="28" t="str">
        <x:v>CA-0071</x:v>
      </x:c>
      <x:c r="V83" s="28" t="str"/>
      <x:c r="W83" t="n">
        <x:f>IF(COUNTIF($T$5:T83,T83)=1,1,0)</x:f>
        <x:v>1</x:v>
      </x:c>
    </x:row>
    <x:row r="84" ht="94" customHeight="1">
      <x:c r="A84" s="28" t="str">
        <x:v>Oshawa</x:v>
      </x:c>
      <x:c r="B84" s="28" t="str">
        <x:v>ON</x:v>
      </x:c>
      <x:c r="C84" s="28" t="str">
        <x:v>Building footprints</x:v>
      </x:c>
      <x:c r="D84" s="28" t="str">
        <x:v>Buildings</x:v>
      </x:c>
      <x:c r="E84" s="28" t="str">
        <x:v>C</x:v>
      </x:c>
      <x:c r="F84" s="28" t="str">
        <x:v>JSON; GeoJSON</x:v>
      </x:c>
      <x:c r="G84" s="28" t="str">
        <x:v>Municipal dataset</x:v>
      </x:c>
      <x:c r="H84" s="28" t="str">
        <x:v>City of Oshawa</x:v>
      </x:c>
      <x:c r="I84" s="28" t="str">
        <x:v>ArcGIS REST layer query</x:v>
      </x:c>
      <x:c r="J84" s="28" t="str"/>
      <x:c r="K84" s="28" t="str">
        <x:v>https://map.oshawa.ca/arcgis/rest/services/Operational/OpenData/MapServer/12/query?where=1%3D1&amp;outFields=*&amp;outSR=4326&amp;f=geojson</x:v>
      </x:c>
      <x:c r="L84" s="28" t="str">
        <x:v>https://map.oshawa.ca/arcgis/rest/services/Operational/OpenData/MapServer/12</x:v>
      </x:c>
      <x:c r="M84" s="28" t="str">
        <x:v>See dataset licence</x:v>
      </x:c>
      <x:c r="N84" s="28" t="str">
        <x:v>See resource metadata</x:v>
      </x:c>
      <x:c r="O84" s="28" t="str">
        <x:v>Derived URL; not fetched</x:v>
      </x:c>
      <x:c r="P84" s="28" t="str">
        <x:v>Dataset located; endpoint constructed from platform or live service schema</x:v>
      </x:c>
      <x:c r="Q84" s="28" t="str">
        <x:v>Service advertises GeoJSON and JSON; maximum 1,000 records per request. Paginate or query object IDs. Request outSR=4326 for longitude/latitude.</x:v>
      </x:c>
      <x:c r="R84" s="28" t="str">
        <x:v>https://map.oshawa.ca/arcgis/rest/services/Operational/OpenData/MapServer</x:v>
      </x:c>
      <x:c r="S84" s="28" t="str">
        <x:v>2026-10-07</x:v>
      </x:c>
      <x:c r="T84" s="28" t="str">
        <x:v>DS-0723b734b4b1</x:v>
      </x:c>
      <x:c r="U84" s="28" t="str">
        <x:v>CA-0072</x:v>
      </x:c>
      <x:c r="V84" s="28" t="str"/>
      <x:c r="W84" t="n">
        <x:f>IF(COUNTIF($T$5:T84,T84)=1,1,0)</x:f>
        <x:v>1</x:v>
      </x:c>
    </x:row>
    <x:row r="85" ht="94" customHeight="1">
      <x:c r="A85" s="28" t="str">
        <x:v>Oshawa</x:v>
      </x:c>
      <x:c r="B85" s="28" t="str">
        <x:v>ON</x:v>
      </x:c>
      <x:c r="C85" s="28" t="str">
        <x:v>Cycling infrastructure</x:v>
      </x:c>
      <x:c r="D85" s="28" t="str">
        <x:v>Transport</x:v>
      </x:c>
      <x:c r="E85" s="28" t="str">
        <x:v>C</x:v>
      </x:c>
      <x:c r="F85" s="28" t="str">
        <x:v>JSON; GeoJSON</x:v>
      </x:c>
      <x:c r="G85" s="28" t="str">
        <x:v>Municipal dataset</x:v>
      </x:c>
      <x:c r="H85" s="28" t="str">
        <x:v>City of Oshawa</x:v>
      </x:c>
      <x:c r="I85" s="28" t="str">
        <x:v>ArcGIS REST layer query</x:v>
      </x:c>
      <x:c r="J85" s="28" t="str"/>
      <x:c r="K85" s="28" t="str">
        <x:v>https://map.oshawa.ca/arcgis/rest/services/Operational/OpenData/MapServer/19/query?where=1%3D1&amp;outFields=*&amp;outSR=4326&amp;f=geojson</x:v>
      </x:c>
      <x:c r="L85" s="28" t="str">
        <x:v>https://map.oshawa.ca/arcgis/rest/services/Operational/OpenData/MapServer/19</x:v>
      </x:c>
      <x:c r="M85" s="28" t="str">
        <x:v>See dataset licence</x:v>
      </x:c>
      <x:c r="N85" s="28" t="str">
        <x:v>See resource metadata</x:v>
      </x:c>
      <x:c r="O85" s="28" t="str">
        <x:v>Derived URL; not fetched</x:v>
      </x:c>
      <x:c r="P85" s="28" t="str">
        <x:v>Dataset located; endpoint constructed from platform or live service schema</x:v>
      </x:c>
      <x:c r="Q85" s="28" t="str">
        <x:v>Service advertises GeoJSON and JSON; maximum 1,000 records per request. Paginate or query object IDs. Request outSR=4326 for longitude/latitude.</x:v>
      </x:c>
      <x:c r="R85" s="28" t="str">
        <x:v>https://map.oshawa.ca/arcgis/rest/services/Operational/OpenData/MapServer</x:v>
      </x:c>
      <x:c r="S85" s="28" t="str">
        <x:v>2026-10-07</x:v>
      </x:c>
      <x:c r="T85" s="28" t="str">
        <x:v>DS-fa13bea49295</x:v>
      </x:c>
      <x:c r="U85" s="28" t="str">
        <x:v>CA-0074</x:v>
      </x:c>
      <x:c r="V85" s="28" t="str"/>
      <x:c r="W85" t="n">
        <x:f>IF(COUNTIF($T$5:T85,T85)=1,1,0)</x:f>
        <x:v>1</x:v>
      </x:c>
    </x:row>
    <x:row r="86" ht="94" customHeight="1">
      <x:c r="A86" s="28" t="str">
        <x:v>Oshawa</x:v>
      </x:c>
      <x:c r="B86" s="28" t="str">
        <x:v>ON</x:v>
      </x:c>
      <x:c r="C86" s="28" t="str">
        <x:v>Parcels</x:v>
      </x:c>
      <x:c r="D86" s="28" t="str">
        <x:v>Addresses and property</x:v>
      </x:c>
      <x:c r="E86" s="28" t="str">
        <x:v>C</x:v>
      </x:c>
      <x:c r="F86" s="28" t="str">
        <x:v>JSON; GeoJSON</x:v>
      </x:c>
      <x:c r="G86" s="28" t="str">
        <x:v>Municipal dataset</x:v>
      </x:c>
      <x:c r="H86" s="28" t="str">
        <x:v>City of Oshawa</x:v>
      </x:c>
      <x:c r="I86" s="28" t="str">
        <x:v>ArcGIS REST layer query</x:v>
      </x:c>
      <x:c r="J86" s="28" t="str"/>
      <x:c r="K86" s="28" t="str">
        <x:v>https://map.oshawa.ca/arcgis/rest/services/Operational/OpenData/MapServer/1/query?where=1%3D1&amp;outFields=*&amp;outSR=4326&amp;f=geojson</x:v>
      </x:c>
      <x:c r="L86" s="28" t="str">
        <x:v>https://map.oshawa.ca/arcgis/rest/services/Operational/OpenData/MapServer/1</x:v>
      </x:c>
      <x:c r="M86" s="28" t="str">
        <x:v>See dataset licence</x:v>
      </x:c>
      <x:c r="N86" s="28" t="str">
        <x:v>See resource metadata</x:v>
      </x:c>
      <x:c r="O86" s="28" t="str">
        <x:v>Derived URL; not fetched</x:v>
      </x:c>
      <x:c r="P86" s="28" t="str">
        <x:v>Dataset located; endpoint constructed from platform or live service schema</x:v>
      </x:c>
      <x:c r="Q86" s="28" t="str">
        <x:v>Service advertises GeoJSON and JSON; maximum 1,000 records per request. Paginate or query object IDs. Request outSR=4326 for longitude/latitude.</x:v>
      </x:c>
      <x:c r="R86" s="28" t="str">
        <x:v>https://map.oshawa.ca/arcgis/rest/services/Operational/OpenData/MapServer</x:v>
      </x:c>
      <x:c r="S86" s="28" t="str">
        <x:v>2026-10-07</x:v>
      </x:c>
      <x:c r="T86" s="28" t="str">
        <x:v>DS-abf6e53ee23f</x:v>
      </x:c>
      <x:c r="U86" s="28" t="str">
        <x:v>CA-0073</x:v>
      </x:c>
      <x:c r="V86" s="28" t="str"/>
      <x:c r="W86" t="n">
        <x:f>IF(COUNTIF($T$5:T86,T86)=1,1,0)</x:f>
        <x:v>1</x:v>
      </x:c>
    </x:row>
    <x:row r="87" ht="94" customHeight="1">
      <x:c r="A87" s="28" t="str">
        <x:v>Ottawa</x:v>
      </x:c>
      <x:c r="B87" s="28" t="str">
        <x:v>ON</x:v>
      </x:c>
      <x:c r="C87" s="28" t="str">
        <x:v>2021 census long form by sub-area</x:v>
      </x:c>
      <x:c r="D87" s="28" t="str">
        <x:v>Demographics</x:v>
      </x:c>
      <x:c r="E87" s="28" t="str">
        <x:v>D</x:v>
      </x:c>
      <x:c r="F87" s="28" t="str">
        <x:v>Unconfirmed: CSV / GeoJSON / SHP target formats</x:v>
      </x:c>
      <x:c r="G87" s="28" t="str">
        <x:v>Municipal dataset</x:v>
      </x:c>
      <x:c r="H87" s="28" t="str">
        <x:v>City of Ottawa</x:v>
      </x:c>
      <x:c r="I87" s="28" t="str">
        <x:v>ArcGIS Hub Download / service API</x:v>
      </x:c>
      <x:c r="J87" s="28" t="str"/>
      <x:c r="K87" s="28" t="str"/>
      <x:c r="L87" s="28" t="str">
        <x:v>https://open.ottawa.ca/datasets/83170bd7a02a4fc4b98c0124ae952b96</x:v>
      </x:c>
      <x:c r="M87" s="28" t="str">
        <x:v>See dataset licence</x:v>
      </x:c>
      <x:c r="N87" s="28" t="str">
        <x:v>See resource metadata</x:v>
      </x:c>
      <x:c r="O87" s="28" t="str">
        <x:v>Link / metadata located; payload not downloaded</x:v>
      </x:c>
      <x:c r="P87" s="28" t="str">
        <x:v>Specific dataset lead; per-resource export formats need verification</x:v>
      </x:c>
      <x:c r="Q87" s="28" t="str">
        <x:v>Census reference year is 2021, not current-year population. Use GeoJSON/SHP to retain geometry; inspect layer export options.</x:v>
      </x:c>
      <x:c r="R87" s="28" t="str">
        <x:v>https://open.ottawa.ca/datasets/83170bd7a02a4fc4b98c0124ae952b96</x:v>
      </x:c>
      <x:c r="S87" s="28" t="str">
        <x:v>2026-10-07</x:v>
      </x:c>
      <x:c r="T87" s="28" t="str">
        <x:v>DS-05250353b160</x:v>
      </x:c>
      <x:c r="U87" s="28" t="str">
        <x:v>CA-0023</x:v>
      </x:c>
      <x:c r="V87" s="28" t="str">
        <x:v>https://www.arcgis.com/sharing/rest/content/items/83170bd7a02a4fc4b98c0124ae952b96?f=pjson</x:v>
      </x:c>
      <x:c r="W87" t="n">
        <x:f>IF(COUNTIF($T$5:T87,T87)=1,1,0)</x:f>
        <x:v>1</x:v>
      </x:c>
    </x:row>
    <x:row r="88" ht="94" customHeight="1">
      <x:c r="A88" s="28" t="str">
        <x:v>Ottawa</x:v>
      </x:c>
      <x:c r="B88" s="28" t="str">
        <x:v>ON</x:v>
      </x:c>
      <x:c r="C88" s="28" t="str">
        <x:v>2021 census short form by sub-area</x:v>
      </x:c>
      <x:c r="D88" s="28" t="str">
        <x:v>Demographics</x:v>
      </x:c>
      <x:c r="E88" s="28" t="str">
        <x:v>D</x:v>
      </x:c>
      <x:c r="F88" s="28" t="str">
        <x:v>Unconfirmed: CSV / GeoJSON / SHP target formats</x:v>
      </x:c>
      <x:c r="G88" s="28" t="str">
        <x:v>Municipal dataset</x:v>
      </x:c>
      <x:c r="H88" s="28" t="str">
        <x:v>City of Ottawa</x:v>
      </x:c>
      <x:c r="I88" s="28" t="str">
        <x:v>ArcGIS Hub Download / service API</x:v>
      </x:c>
      <x:c r="J88" s="28" t="str"/>
      <x:c r="K88" s="28" t="str"/>
      <x:c r="L88" s="28" t="str">
        <x:v>https://open.ottawa.ca/datasets/d4e5098fd89740e6a8893d58804e37df</x:v>
      </x:c>
      <x:c r="M88" s="28" t="str">
        <x:v>See dataset licence</x:v>
      </x:c>
      <x:c r="N88" s="28" t="str">
        <x:v>See resource metadata</x:v>
      </x:c>
      <x:c r="O88" s="28" t="str">
        <x:v>Link / metadata located; payload not downloaded</x:v>
      </x:c>
      <x:c r="P88" s="28" t="str">
        <x:v>Specific dataset lead; per-resource export formats need verification</x:v>
      </x:c>
      <x:c r="Q88" s="28" t="str">
        <x:v>Census reference year is 2021, not current-year population. Use GeoJSON/SHP to retain geometry; inspect layer export options.</x:v>
      </x:c>
      <x:c r="R88" s="28" t="str">
        <x:v>https://open.ottawa.ca/datasets/d4e5098fd89740e6a8893d58804e37df</x:v>
      </x:c>
      <x:c r="S88" s="28" t="str">
        <x:v>2026-10-07</x:v>
      </x:c>
      <x:c r="T88" s="28" t="str">
        <x:v>DS-82794945e437</x:v>
      </x:c>
      <x:c r="U88" s="28" t="str">
        <x:v>CA-0022</x:v>
      </x:c>
      <x:c r="V88" s="28" t="str">
        <x:v>https://www.arcgis.com/sharing/rest/content/items/d4e5098fd89740e6a8893d58804e37df?f=pjson</x:v>
      </x:c>
      <x:c r="W88" t="n">
        <x:f>IF(COUNTIF($T$5:T88,T88)=1,1,0)</x:f>
        <x:v>1</x:v>
      </x:c>
    </x:row>
    <x:row r="89" ht="94" customHeight="1">
      <x:c r="A89" s="28" t="str">
        <x:v>Ottawa</x:v>
      </x:c>
      <x:c r="B89" s="28" t="str">
        <x:v>ON</x:v>
      </x:c>
      <x:c r="C89" s="28" t="str">
        <x:v>2021 census short form by ward</x:v>
      </x:c>
      <x:c r="D89" s="28" t="str">
        <x:v>Demographics</x:v>
      </x:c>
      <x:c r="E89" s="28" t="str">
        <x:v>D</x:v>
      </x:c>
      <x:c r="F89" s="28" t="str">
        <x:v>Unconfirmed: CSV / GeoJSON / SHP target formats</x:v>
      </x:c>
      <x:c r="G89" s="28" t="str">
        <x:v>Municipal dataset</x:v>
      </x:c>
      <x:c r="H89" s="28" t="str">
        <x:v>City of Ottawa</x:v>
      </x:c>
      <x:c r="I89" s="28" t="str">
        <x:v>ArcGIS Hub Download / service API</x:v>
      </x:c>
      <x:c r="J89" s="28" t="str"/>
      <x:c r="K89" s="28" t="str"/>
      <x:c r="L89" s="28" t="str">
        <x:v>https://open.ottawa.ca/datasets/8f75667abca94de8a7d4c467c3bc6f81</x:v>
      </x:c>
      <x:c r="M89" s="28" t="str">
        <x:v>See dataset licence</x:v>
      </x:c>
      <x:c r="N89" s="28" t="str">
        <x:v>See resource metadata</x:v>
      </x:c>
      <x:c r="O89" s="28" t="str">
        <x:v>Link / metadata located; payload not downloaded</x:v>
      </x:c>
      <x:c r="P89" s="28" t="str">
        <x:v>Specific dataset lead; per-resource export formats need verification</x:v>
      </x:c>
      <x:c r="Q89" s="28" t="str">
        <x:v>Census reference year is 2021, not current-year population. Use GeoJSON/SHP to retain geometry; inspect layer export options.</x:v>
      </x:c>
      <x:c r="R89" s="28" t="str">
        <x:v>https://open.ottawa.ca/datasets/8f75667abca94de8a7d4c467c3bc6f81</x:v>
      </x:c>
      <x:c r="S89" s="28" t="str">
        <x:v>2026-10-07</x:v>
      </x:c>
      <x:c r="T89" s="28" t="str">
        <x:v>DS-c11fd1c08c2e</x:v>
      </x:c>
      <x:c r="U89" s="28" t="str">
        <x:v>CA-0024</x:v>
      </x:c>
      <x:c r="V89" s="28" t="str">
        <x:v>https://www.arcgis.com/sharing/rest/content/items/8f75667abca94de8a7d4c467c3bc6f81?f=pjson</x:v>
      </x:c>
      <x:c r="W89" t="n">
        <x:f>IF(COUNTIF($T$5:T89,T89)=1,1,0)</x:f>
        <x:v>1</x:v>
      </x:c>
    </x:row>
    <x:row r="90" ht="94" customHeight="1">
      <x:c r="A90" s="28" t="str">
        <x:v>Ottawa</x:v>
      </x:c>
      <x:c r="B90" s="28" t="str">
        <x:v>ON</x:v>
      </x:c>
      <x:c r="C90" s="28" t="str">
        <x:v>Volleyball courts</x:v>
      </x:c>
      <x:c r="D90" s="28" t="str">
        <x:v>Parks and recreation</x:v>
      </x:c>
      <x:c r="E90" s="28" t="str">
        <x:v>D</x:v>
      </x:c>
      <x:c r="F90" s="28" t="str">
        <x:v>Unconfirmed: CSV / GeoJSON / SHP target formats</x:v>
      </x:c>
      <x:c r="G90" s="28" t="str">
        <x:v>Municipal dataset</x:v>
      </x:c>
      <x:c r="H90" s="28" t="str">
        <x:v>City of Ottawa</x:v>
      </x:c>
      <x:c r="I90" s="28" t="str">
        <x:v>ArcGIS Hub Download / service API</x:v>
      </x:c>
      <x:c r="J90" s="28" t="str"/>
      <x:c r="K90" s="28" t="str"/>
      <x:c r="L90" s="28" t="str">
        <x:v>https://open.ottawa.ca/datasets/2b9f6768f37848d08121d72aeb0ec588_22</x:v>
      </x:c>
      <x:c r="M90" s="28" t="str">
        <x:v>See dataset licence</x:v>
      </x:c>
      <x:c r="N90" s="28" t="str">
        <x:v>See resource metadata</x:v>
      </x:c>
      <x:c r="O90" s="28" t="str">
        <x:v>Link / metadata located; payload not downloaded</x:v>
      </x:c>
      <x:c r="P90" s="28" t="str">
        <x:v>Specific dataset lead; per-resource export formats need verification</x:v>
      </x:c>
      <x:c r="Q90" s="28" t="str">
        <x:v> Use GeoJSON/SHP to retain geometry; inspect layer export options.</x:v>
      </x:c>
      <x:c r="R90" s="28" t="str">
        <x:v>https://open.ottawa.ca/datasets/2b9f6768f37848d08121d72aeb0ec588_22</x:v>
      </x:c>
      <x:c r="S90" s="28" t="str">
        <x:v>2026-10-07</x:v>
      </x:c>
      <x:c r="T90" s="28" t="str">
        <x:v>DS-a269eaf9ab19</x:v>
      </x:c>
      <x:c r="U90" s="28" t="str">
        <x:v>CA-0025</x:v>
      </x:c>
      <x:c r="V90" s="28" t="str">
        <x:v>https://www.arcgis.com/sharing/rest/content/items/2b9f6768f37848d08121d72aeb0ec588?f=pjson</x:v>
      </x:c>
      <x:c r="W90" t="n">
        <x:f>IF(COUNTIF($T$5:T90,T90)=1,1,0)</x:f>
        <x:v>1</x:v>
      </x:c>
    </x:row>
    <x:row r="91" ht="94" customHeight="1">
      <x:c r="A91" s="28" t="str">
        <x:v>Richmond Hill</x:v>
      </x:c>
      <x:c r="B91" s="28" t="str">
        <x:v>ON</x:v>
      </x:c>
      <x:c r="C91" s="28" t="str">
        <x:v>York Region municipal boundaries</x:v>
      </x:c>
      <x:c r="D91" s="28" t="str">
        <x:v>Boundaries</x:v>
      </x:c>
      <x:c r="E91" s="28" t="str">
        <x:v>D</x:v>
      </x:c>
      <x:c r="F91" s="28" t="str">
        <x:v>Unconfirmed: CSV / GeoJSON / SHP target formats</x:v>
      </x:c>
      <x:c r="G91" s="28" t="str">
        <x:v>Regional dataset; city filter required</x:v>
      </x:c>
      <x:c r="H91" s="28" t="str">
        <x:v>Regional Municipality of York</x:v>
      </x:c>
      <x:c r="I91" s="28" t="str">
        <x:v>ArcGIS Hub Download / service API</x:v>
      </x:c>
      <x:c r="J91" s="28" t="str"/>
      <x:c r="K91" s="28" t="str"/>
      <x:c r="L91" s="28" t="str">
        <x:v>https://data-markham.opendata.arcgis.com/datasets/york::municipal-boundary</x:v>
      </x:c>
      <x:c r="M91" s="28" t="str">
        <x:v>See dataset licence</x:v>
      </x:c>
      <x:c r="N91" s="28" t="str">
        <x:v>See resource metadata</x:v>
      </x:c>
      <x:c r="O91" s="28" t="str">
        <x:v>Link / metadata located; payload not downloaded</x:v>
      </x:c>
      <x:c r="P91" s="28" t="str">
        <x:v>Specific dataset lead; per-resource export formats need verification</x:v>
      </x:c>
      <x:c r="Q91" s="28" t="str">
        <x:v>Regional dataset covering York municipalities; select the municipality. Shared resource repeated for city coverage. Use GeoJSON/SHP to retain geometry; inspect layer export options.</x:v>
      </x:c>
      <x:c r="R91" s="28" t="str">
        <x:v>https://data-markham.opendata.arcgis.com/datasets/york::municipal-boundary</x:v>
      </x:c>
      <x:c r="S91" s="28" t="str">
        <x:v>2026-10-07</x:v>
      </x:c>
      <x:c r="T91" s="28" t="str">
        <x:v>DS-4a92734f05f2</x:v>
      </x:c>
      <x:c r="U91" s="28" t="str">
        <x:v>CA-0105</x:v>
      </x:c>
      <x:c r="V91" s="28" t="str"/>
      <x:c r="W91" t="n">
        <x:f>IF(COUNTIF($T$5:T91,T91)=1,1,0)</x:f>
        <x:v>0</x:v>
      </x:c>
    </x:row>
    <x:row r="92" ht="94" customHeight="1">
      <x:c r="A92" s="28" t="str">
        <x:v>Thunder Bay</x:v>
      </x:c>
      <x:c r="B92" s="28" t="str">
        <x:v>ON</x:v>
      </x:c>
      <x:c r="C92" s="28" t="str">
        <x:v>Building feature layer</x:v>
      </x:c>
      <x:c r="D92" s="28" t="str">
        <x:v>Buildings</x:v>
      </x:c>
      <x:c r="E92" s="28" t="str">
        <x:v>D</x:v>
      </x:c>
      <x:c r="F92" s="28" t="str">
        <x:v>Unconfirmed: CSV / GeoJSON / SHP target formats</x:v>
      </x:c>
      <x:c r="G92" s="28" t="str">
        <x:v>Municipal dataset</x:v>
      </x:c>
      <x:c r="H92" s="28" t="str">
        <x:v>City of Thunder Bay</x:v>
      </x:c>
      <x:c r="I92" s="28" t="str">
        <x:v>ArcGIS Hub Download / service API</x:v>
      </x:c>
      <x:c r="J92" s="28" t="str"/>
      <x:c r="K92" s="28" t="str"/>
      <x:c r="L92" s="28" t="str">
        <x:v>https://opendata-thunderbay.hub.arcgis.com/datasets/cc7cb51753384ca99e566834cd48924b_0/explore</x:v>
      </x:c>
      <x:c r="M92" s="28" t="str">
        <x:v>See dataset licence</x:v>
      </x:c>
      <x:c r="N92" s="28" t="str">
        <x:v>See resource metadata</x:v>
      </x:c>
      <x:c r="O92" s="28" t="str">
        <x:v>Link / metadata located; payload not downloaded</x:v>
      </x:c>
      <x:c r="P92" s="28" t="str">
        <x:v>Specific dataset lead; per-resource export formats need verification</x:v>
      </x:c>
      <x:c r="Q92" s="28" t="str">
        <x:v> Use GeoJSON/SHP to retain geometry; inspect layer export options.</x:v>
      </x:c>
      <x:c r="R92" s="28" t="str">
        <x:v>https://www150.statcan.gc.ca/n1/pub/21-26-0002/2021001/meta-eng.htm</x:v>
      </x:c>
      <x:c r="S92" s="28" t="str">
        <x:v>2026-10-07</x:v>
      </x:c>
      <x:c r="T92" s="28" t="str">
        <x:v>DS-e360243262b2</x:v>
      </x:c>
      <x:c r="U92" s="28" t="str">
        <x:v>CA-0049</x:v>
      </x:c>
      <x:c r="V92" s="28" t="str">
        <x:v>https://www.arcgis.com/sharing/rest/content/items/cc7cb51753384ca99e566834cd48924b?f=pjson</x:v>
      </x:c>
      <x:c r="W92" t="n">
        <x:f>IF(COUNTIF($T$5:T92,T92)=1,1,0)</x:f>
        <x:v>1</x:v>
      </x:c>
    </x:row>
    <x:row r="93" ht="94" customHeight="1">
      <x:c r="A93" s="28" t="str">
        <x:v>Toronto</x:v>
      </x:c>
      <x:c r="B93" s="28" t="str">
        <x:v>ON</x:v>
      </x:c>
      <x:c r="C93" s="28" t="str">
        <x:v>Bikeways</x:v>
      </x:c>
      <x:c r="D93" s="28" t="str">
        <x:v>Transportation</x:v>
      </x:c>
      <x:c r="E93" s="28" t="str">
        <x:v>D</x:v>
      </x:c>
      <x:c r="F93" s="28" t="str">
        <x:v>Resource-specific; resolve CSV/JSON/GeoJSON/SHP from CKAN</x:v>
      </x:c>
      <x:c r="G93" s="28" t="str">
        <x:v>Municipal dataset</x:v>
      </x:c>
      <x:c r="H93" s="28" t="str">
        <x:v>City of Toronto</x:v>
      </x:c>
      <x:c r="I93" s="28" t="str">
        <x:v>CKAN resource download / optional DataStore API</x:v>
      </x:c>
      <x:c r="J93" s="28" t="str"/>
      <x:c r="K93" s="28" t="str">
        <x:v>https://ckan0.cf.opendata.inter.prod-toronto.ca/api/3/action/package_show?id=bikeways</x:v>
      </x:c>
      <x:c r="L93" s="28" t="str">
        <x:v>https://open.toronto.ca/dataset/bikeways/</x:v>
      </x:c>
      <x:c r="M93" s="28" t="str">
        <x:v>See dataset licence</x:v>
      </x:c>
      <x:c r="N93" s="28" t="str">
        <x:v>See resource metadata</x:v>
      </x:c>
      <x:c r="O93" s="28" t="str">
        <x:v>Link / metadata located; payload not downloaded</x:v>
      </x:c>
      <x:c r="P93" s="28" t="str">
        <x:v>Specific dataset lead; per-resource export formats need verification</x:v>
      </x:c>
      <x:c r="Q93" s="28" t="str">
        <x:v>Use package_show to retrieve current resource URLs and formats. Only import supported machine-readable resources.</x:v>
      </x:c>
      <x:c r="R93" s="28" t="str">
        <x:v>https://open.toronto.ca/dataset/bikeways/</x:v>
      </x:c>
      <x:c r="S93" s="28" t="str">
        <x:v>2026-10-07</x:v>
      </x:c>
      <x:c r="T93" s="28" t="str">
        <x:v>DS-515c9c8031d1</x:v>
      </x:c>
      <x:c r="U93" s="28" t="str">
        <x:v>CA-0019</x:v>
      </x:c>
      <x:c r="V93" s="28" t="str">
        <x:v>https://ckan0.cf.opendata.inter.prod-toronto.ca/api/3/action/package_show?id=bikeways</x:v>
      </x:c>
      <x:c r="W93" t="n">
        <x:f>IF(COUNTIF($T$5:T93,T93)=1,1,0)</x:f>
        <x:v>1</x:v>
      </x:c>
    </x:row>
    <x:row r="94" ht="94" customHeight="1">
      <x:c r="A94" s="28" t="str">
        <x:v>Toronto</x:v>
      </x:c>
      <x:c r="B94" s="28" t="str">
        <x:v>ON</x:v>
      </x:c>
      <x:c r="C94" s="28" t="str">
        <x:v>DineSafe inspections</x:v>
      </x:c>
      <x:c r="D94" s="28" t="str">
        <x:v>Public health</x:v>
      </x:c>
      <x:c r="E94" s="28" t="str">
        <x:v>D</x:v>
      </x:c>
      <x:c r="F94" s="28" t="str">
        <x:v>Resource-specific; resolve CSV/JSON/GeoJSON/SHP from CKAN</x:v>
      </x:c>
      <x:c r="G94" s="28" t="str">
        <x:v>Municipal dataset</x:v>
      </x:c>
      <x:c r="H94" s="28" t="str">
        <x:v>City of Toronto</x:v>
      </x:c>
      <x:c r="I94" s="28" t="str">
        <x:v>CKAN resource download / optional DataStore API</x:v>
      </x:c>
      <x:c r="J94" s="28" t="str"/>
      <x:c r="K94" s="28" t="str">
        <x:v>https://ckan0.cf.opendata.inter.prod-toronto.ca/api/3/action/package_show?id=dinesafe</x:v>
      </x:c>
      <x:c r="L94" s="28" t="str">
        <x:v>https://open.toronto.ca/dataset/dinesafe/</x:v>
      </x:c>
      <x:c r="M94" s="28" t="str">
        <x:v>See dataset licence</x:v>
      </x:c>
      <x:c r="N94" s="28" t="str">
        <x:v>See resource metadata</x:v>
      </x:c>
      <x:c r="O94" s="28" t="str">
        <x:v>Link / metadata located; payload not downloaded</x:v>
      </x:c>
      <x:c r="P94" s="28" t="str">
        <x:v>Specific dataset lead; per-resource export formats need verification</x:v>
      </x:c>
      <x:c r="Q94" s="28" t="str">
        <x:v>Use package_show to retrieve current resource URLs and formats. Only import supported machine-readable resources.</x:v>
      </x:c>
      <x:c r="R94" s="28" t="str">
        <x:v>https://open.toronto.ca/dataset/dinesafe/</x:v>
      </x:c>
      <x:c r="S94" s="28" t="str">
        <x:v>2026-10-07</x:v>
      </x:c>
      <x:c r="T94" s="28" t="str">
        <x:v>DS-ba6eed178a8c</x:v>
      </x:c>
      <x:c r="U94" s="28" t="str">
        <x:v>CA-0018</x:v>
      </x:c>
      <x:c r="V94" s="28" t="str">
        <x:v>https://ckan0.cf.opendata.inter.prod-toronto.ca/api/3/action/package_show?id=dinesafe</x:v>
      </x:c>
      <x:c r="W94" t="n">
        <x:f>IF(COUNTIF($T$5:T94,T94)=1,1,0)</x:f>
        <x:v>1</x:v>
      </x:c>
    </x:row>
    <x:row r="95" ht="94" customHeight="1">
      <x:c r="A95" s="28" t="str">
        <x:v>Toronto</x:v>
      </x:c>
      <x:c r="B95" s="28" t="str">
        <x:v>ON</x:v>
      </x:c>
      <x:c r="C95" s="28" t="str">
        <x:v>Green spaces</x:v>
      </x:c>
      <x:c r="D95" s="28" t="str">
        <x:v>Parks and recreation</x:v>
      </x:c>
      <x:c r="E95" s="28" t="str">
        <x:v>D</x:v>
      </x:c>
      <x:c r="F95" s="28" t="str">
        <x:v>Resource-specific; resolve CSV/JSON/GeoJSON/SHP from CKAN</x:v>
      </x:c>
      <x:c r="G95" s="28" t="str">
        <x:v>Municipal dataset</x:v>
      </x:c>
      <x:c r="H95" s="28" t="str">
        <x:v>City of Toronto</x:v>
      </x:c>
      <x:c r="I95" s="28" t="str">
        <x:v>CKAN resource download / optional DataStore API</x:v>
      </x:c>
      <x:c r="J95" s="28" t="str"/>
      <x:c r="K95" s="28" t="str">
        <x:v>https://ckan0.cf.opendata.inter.prod-toronto.ca/api/3/action/package_show?id=green-spaces</x:v>
      </x:c>
      <x:c r="L95" s="28" t="str">
        <x:v>https://open.toronto.ca/dataset/green-spaces/</x:v>
      </x:c>
      <x:c r="M95" s="28" t="str">
        <x:v>See dataset licence</x:v>
      </x:c>
      <x:c r="N95" s="28" t="str">
        <x:v>See resource metadata</x:v>
      </x:c>
      <x:c r="O95" s="28" t="str">
        <x:v>Link / metadata located; payload not downloaded</x:v>
      </x:c>
      <x:c r="P95" s="28" t="str">
        <x:v>Specific dataset lead; per-resource export formats need verification</x:v>
      </x:c>
      <x:c r="Q95" s="28" t="str">
        <x:v>Use package_show to retrieve current resource URLs and formats. Only import supported machine-readable resources.</x:v>
      </x:c>
      <x:c r="R95" s="28" t="str">
        <x:v>https://open.toronto.ca/dataset/green-spaces/</x:v>
      </x:c>
      <x:c r="S95" s="28" t="str">
        <x:v>2026-10-07</x:v>
      </x:c>
      <x:c r="T95" s="28" t="str">
        <x:v>DS-dcb88feb8810</x:v>
      </x:c>
      <x:c r="U95" s="28" t="str">
        <x:v>CA-0021</x:v>
      </x:c>
      <x:c r="V95" s="28" t="str">
        <x:v>https://ckan0.cf.opendata.inter.prod-toronto.ca/api/3/action/package_show?id=green-spaces</x:v>
      </x:c>
      <x:c r="W95" t="n">
        <x:f>IF(COUNTIF($T$5:T95,T95)=1,1,0)</x:f>
        <x:v>1</x:v>
      </x:c>
    </x:row>
    <x:row r="96" ht="94" customHeight="1">
      <x:c r="A96" s="28" t="str">
        <x:v>Toronto</x:v>
      </x:c>
      <x:c r="B96" s="28" t="str">
        <x:v>ON</x:v>
      </x:c>
      <x:c r="C96" s="28" t="str">
        <x:v>Lobbyist registry</x:v>
      </x:c>
      <x:c r="D96" s="28" t="str">
        <x:v>Government</x:v>
      </x:c>
      <x:c r="E96" s="28" t="str">
        <x:v>D</x:v>
      </x:c>
      <x:c r="F96" s="28" t="str">
        <x:v>Resource-specific; resolve CSV/JSON/GeoJSON/SHP from CKAN</x:v>
      </x:c>
      <x:c r="G96" s="28" t="str">
        <x:v>Municipal dataset</x:v>
      </x:c>
      <x:c r="H96" s="28" t="str">
        <x:v>City of Toronto</x:v>
      </x:c>
      <x:c r="I96" s="28" t="str">
        <x:v>CKAN resource download / optional DataStore API</x:v>
      </x:c>
      <x:c r="J96" s="28" t="str"/>
      <x:c r="K96" s="28" t="str">
        <x:v>https://ckan0.cf.opendata.inter.prod-toronto.ca/api/3/action/package_show?id=lobbyist-registry</x:v>
      </x:c>
      <x:c r="L96" s="28" t="str">
        <x:v>https://open.toronto.ca/dataset/lobbyist-registry/</x:v>
      </x:c>
      <x:c r="M96" s="28" t="str">
        <x:v>See dataset licence</x:v>
      </x:c>
      <x:c r="N96" s="28" t="str">
        <x:v>See resource metadata</x:v>
      </x:c>
      <x:c r="O96" s="28" t="str">
        <x:v>Link / metadata located; payload not downloaded</x:v>
      </x:c>
      <x:c r="P96" s="28" t="str">
        <x:v>Specific dataset lead; per-resource export formats need verification</x:v>
      </x:c>
      <x:c r="Q96" s="28" t="str">
        <x:v>Use package_show to retrieve current resource URLs and formats. Only import supported machine-readable resources.</x:v>
      </x:c>
      <x:c r="R96" s="28" t="str">
        <x:v>https://open.toronto.ca/dataset/lobbyist-registry/</x:v>
      </x:c>
      <x:c r="S96" s="28" t="str">
        <x:v>2026-10-07</x:v>
      </x:c>
      <x:c r="T96" s="28" t="str">
        <x:v>DS-e520648e2b04</x:v>
      </x:c>
      <x:c r="U96" s="28" t="str">
        <x:v>CA-0020</x:v>
      </x:c>
      <x:c r="V96" s="28" t="str">
        <x:v>https://ckan0.cf.opendata.inter.prod-toronto.ca/api/3/action/package_show?id=lobbyist-registry</x:v>
      </x:c>
      <x:c r="W96" t="n">
        <x:f>IF(COUNTIF($T$5:T96,T96)=1,1,0)</x:f>
        <x:v>1</x:v>
      </x:c>
    </x:row>
    <x:row r="97" ht="94" customHeight="1">
      <x:c r="A97" s="28" t="str">
        <x:v>Toronto</x:v>
      </x:c>
      <x:c r="B97" s="28" t="str">
        <x:v>ON</x:v>
      </x:c>
      <x:c r="C97" s="28" t="str">
        <x:v>Parking tickets</x:v>
      </x:c>
      <x:c r="D97" s="28" t="str">
        <x:v>Transportation</x:v>
      </x:c>
      <x:c r="E97" s="28" t="str">
        <x:v>D</x:v>
      </x:c>
      <x:c r="F97" s="28" t="str">
        <x:v>Resource-specific; resolve CSV/JSON/GeoJSON/SHP from CKAN</x:v>
      </x:c>
      <x:c r="G97" s="28" t="str">
        <x:v>Municipal dataset</x:v>
      </x:c>
      <x:c r="H97" s="28" t="str">
        <x:v>City of Toronto</x:v>
      </x:c>
      <x:c r="I97" s="28" t="str">
        <x:v>CKAN resource download / optional DataStore API</x:v>
      </x:c>
      <x:c r="J97" s="28" t="str"/>
      <x:c r="K97" s="28" t="str">
        <x:v>https://ckan0.cf.opendata.inter.prod-toronto.ca/api/3/action/package_show?id=parking-tickets</x:v>
      </x:c>
      <x:c r="L97" s="28" t="str">
        <x:v>https://open.toronto.ca/dataset/parking-tickets/</x:v>
      </x:c>
      <x:c r="M97" s="28" t="str">
        <x:v>See dataset licence</x:v>
      </x:c>
      <x:c r="N97" s="28" t="str">
        <x:v>See resource metadata</x:v>
      </x:c>
      <x:c r="O97" s="28" t="str">
        <x:v>Link / metadata located; payload not downloaded</x:v>
      </x:c>
      <x:c r="P97" s="28" t="str">
        <x:v>Specific dataset lead; per-resource export formats need verification</x:v>
      </x:c>
      <x:c r="Q97" s="28" t="str">
        <x:v>Use package_show to retrieve current resource URLs and formats. Only import supported machine-readable resources.</x:v>
      </x:c>
      <x:c r="R97" s="28" t="str">
        <x:v>https://open.toronto.ca/dataset/parking-tickets/</x:v>
      </x:c>
      <x:c r="S97" s="28" t="str">
        <x:v>2026-10-07</x:v>
      </x:c>
      <x:c r="T97" s="28" t="str">
        <x:v>DS-69237bc18262</x:v>
      </x:c>
      <x:c r="U97" s="28" t="str">
        <x:v>CA-0017</x:v>
      </x:c>
      <x:c r="V97" s="28" t="str">
        <x:v>https://ckan0.cf.opendata.inter.prod-toronto.ca/api/3/action/package_show?id=parking-tickets</x:v>
      </x:c>
      <x:c r="W97" t="n">
        <x:f>IF(COUNTIF($T$5:T97,T97)=1,1,0)</x:f>
        <x:v>1</x:v>
      </x:c>
    </x:row>
    <x:row r="98" ht="94" customHeight="1">
      <x:c r="A98" s="28" t="str">
        <x:v>Vaughan</x:v>
      </x:c>
      <x:c r="B98" s="28" t="str">
        <x:v>ON</x:v>
      </x:c>
      <x:c r="C98" s="28" t="str">
        <x:v>York Region municipal boundaries</x:v>
      </x:c>
      <x:c r="D98" s="28" t="str">
        <x:v>Boundaries</x:v>
      </x:c>
      <x:c r="E98" s="28" t="str">
        <x:v>D</x:v>
      </x:c>
      <x:c r="F98" s="28" t="str">
        <x:v>Unconfirmed: CSV / GeoJSON / SHP target formats</x:v>
      </x:c>
      <x:c r="G98" s="28" t="str">
        <x:v>Regional dataset; city filter required</x:v>
      </x:c>
      <x:c r="H98" s="28" t="str">
        <x:v>Regional Municipality of York</x:v>
      </x:c>
      <x:c r="I98" s="28" t="str">
        <x:v>ArcGIS Hub Download / service API</x:v>
      </x:c>
      <x:c r="J98" s="28" t="str"/>
      <x:c r="K98" s="28" t="str"/>
      <x:c r="L98" s="28" t="str">
        <x:v>https://data-markham.opendata.arcgis.com/datasets/york::municipal-boundary</x:v>
      </x:c>
      <x:c r="M98" s="28" t="str">
        <x:v>See dataset licence</x:v>
      </x:c>
      <x:c r="N98" s="28" t="str">
        <x:v>See resource metadata</x:v>
      </x:c>
      <x:c r="O98" s="28" t="str">
        <x:v>Link / metadata located; payload not downloaded</x:v>
      </x:c>
      <x:c r="P98" s="28" t="str">
        <x:v>Specific dataset lead; per-resource export formats need verification</x:v>
      </x:c>
      <x:c r="Q98" s="28" t="str">
        <x:v>Regional dataset covering York municipalities; select the municipality. Shared resource repeated for city coverage. Use GeoJSON/SHP to retain geometry; inspect layer export options.</x:v>
      </x:c>
      <x:c r="R98" s="28" t="str">
        <x:v>https://data-markham.opendata.arcgis.com/datasets/york::municipal-boundary</x:v>
      </x:c>
      <x:c r="S98" s="28" t="str">
        <x:v>2026-10-07</x:v>
      </x:c>
      <x:c r="T98" s="28" t="str">
        <x:v>DS-4a92734f05f2</x:v>
      </x:c>
      <x:c r="U98" s="28" t="str">
        <x:v>CA-0104</x:v>
      </x:c>
      <x:c r="V98" s="28" t="str"/>
      <x:c r="W98" t="n">
        <x:f>IF(COUNTIF($T$5:T98,T98)=1,1,0)</x:f>
        <x:v>0</x:v>
      </x:c>
    </x:row>
    <x:row r="99" ht="94" customHeight="1">
      <x:c r="A99" s="28" t="str">
        <x:v>Waterloo</x:v>
      </x:c>
      <x:c r="B99" s="28" t="str">
        <x:v>ON</x:v>
      </x:c>
      <x:c r="C99" s="28" t="str">
        <x:v>Grand River Transit schedules, stops and routes</x:v>
      </x:c>
      <x:c r="D99" s="28" t="str">
        <x:v>Transit</x:v>
      </x:c>
      <x:c r="E99" s="28" t="str">
        <x:v>B</x:v>
      </x:c>
      <x:c r="F99" s="28" t="str">
        <x:v>GTFS ZIP (CSV text tables); GTFS-RT (Protocol Buffers)</x:v>
      </x:c>
      <x:c r="G99" s="28" t="str">
        <x:v>Regional dataset; city filter required</x:v>
      </x:c>
      <x:c r="H99" s="28" t="str">
        <x:v>Region of Waterloo / Grand River Transit</x:v>
      </x:c>
      <x:c r="I99" s="28" t="str">
        <x:v>Operator GTFS download page</x:v>
      </x:c>
      <x:c r="J99" s="28" t="str"/>
      <x:c r="K99" s="28" t="str"/>
      <x:c r="L99" s="28" t="str">
        <x:v>https://www.grt.ca/about-grt/open-data/</x:v>
      </x:c>
      <x:c r="M99" s="28" t="str">
        <x:v>Region of Waterloo Open Data Licence</x:v>
      </x:c>
      <x:c r="N99" s="28" t="str">
        <x:v>See resource metadata</x:v>
      </x:c>
      <x:c r="O99" s="28" t="str">
        <x:v>Link / metadata located; payload not downloaded</x:v>
      </x:c>
      <x:c r="P99" s="28" t="str">
        <x:v>Publisher / government metadata documents the listed formats</x:v>
      </x:c>
      <x:c r="Q99" s="28" t="str">
        <x:v>One shared regional feed covering Kitchener, Waterloo and Cambridge. Repeated city coverage records do not represent different underlying datasets. Static GTFS is the easier batch-analysis format.</x:v>
      </x:c>
      <x:c r="R99" s="28" t="str">
        <x:v>https://www.grt.ca/about-grt/open-data/</x:v>
      </x:c>
      <x:c r="S99" s="28" t="str">
        <x:v>2026-10-07</x:v>
      </x:c>
      <x:c r="T99" s="28" t="str">
        <x:v>DS-4ad82b4b4903</x:v>
      </x:c>
      <x:c r="U99" s="28" t="str">
        <x:v>CA-0077</x:v>
      </x:c>
      <x:c r="V99" s="28" t="str"/>
      <x:c r="W99" t="n">
        <x:f>IF(COUNTIF($T$5:T99,T99)=1,1,0)</x:f>
        <x:v>0</x:v>
      </x:c>
    </x:row>
    <x:row r="100" ht="94" customHeight="1">
      <x:c r="A100" s="28" t="str">
        <x:v>Gatineau</x:v>
      </x:c>
      <x:c r="B100" s="28" t="str">
        <x:v>QC</x:v>
      </x:c>
      <x:c r="C100" s="28" t="str">
        <x:v>Traffic counts / Débits de circulation</x:v>
      </x:c>
      <x:c r="D100" s="28" t="str">
        <x:v>Transport</x:v>
      </x:c>
      <x:c r="E100" s="28" t="str">
        <x:v>B</x:v>
      </x:c>
      <x:c r="F100" s="28" t="str">
        <x:v>CSV; GeoJSON; SHP; XLSX; KML; XML</x:v>
      </x:c>
      <x:c r="G100" s="28" t="str">
        <x:v>Municipal dataset</x:v>
      </x:c>
      <x:c r="H100" s="28" t="str">
        <x:v>Ville de Gatineau</x:v>
      </x:c>
      <x:c r="I100" s="28" t="str">
        <x:v>Données Québec resource download / CKAN</x:v>
      </x:c>
      <x:c r="J100" s="28" t="str"/>
      <x:c r="K100" s="28" t="str">
        <x:v>https://www.donneesquebec.ca/recherche/api/3/action/package_show?id=debits-de-circulation</x:v>
      </x:c>
      <x:c r="L100" s="28" t="str">
        <x:v>https://www.donneesquebec.ca/recherche/dataset/debits-de-circulation</x:v>
      </x:c>
      <x:c r="M100" s="28" t="str">
        <x:v>CC BY 4.0; confirm selected resource</x:v>
      </x:c>
      <x:c r="N100" s="28" t="str">
        <x:v>See resource metadata</x:v>
      </x:c>
      <x:c r="O100" s="28" t="str">
        <x:v>Link / metadata located; payload not downloaded</x:v>
      </x:c>
      <x:c r="P100" s="28" t="str">
        <x:v>Publisher / government metadata documents the listed formats</x:v>
      </x:c>
      <x:c r="Q100" s="28" t="str">
        <x:v>Municipal traffic counts. CSV and spatial exports are explicitly listed by the publisher.</x:v>
      </x:c>
      <x:c r="R100" s="28" t="str">
        <x:v>https://www.donneesquebec.ca/recherche/dataset/debits-de-circulation</x:v>
      </x:c>
      <x:c r="S100" s="28" t="str">
        <x:v>2026-10-07</x:v>
      </x:c>
      <x:c r="T100" s="28" t="str">
        <x:v>DS-ef640e44c9a2</x:v>
      </x:c>
      <x:c r="U100" s="28" t="str">
        <x:v>CA-0089</x:v>
      </x:c>
      <x:c r="V100" s="28" t="str">
        <x:v>https://www.donneesquebec.ca/recherche/api/3/action/package_show?id=debits-de-circulation</x:v>
      </x:c>
      <x:c r="W100" t="n">
        <x:f>IF(COUNTIF($T$5:T100,T100)=1,1,0)</x:f>
        <x:v>1</x:v>
      </x:c>
    </x:row>
    <x:row r="101" ht="94" customHeight="1">
      <x:c r="A101" s="28" t="str">
        <x:v>Laval</x:v>
      </x:c>
      <x:c r="B101" s="28" t="str">
        <x:v>QC</x:v>
      </x:c>
      <x:c r="C101" s="28" t="str">
        <x:v>Municipal council attendance</x:v>
      </x:c>
      <x:c r="D101" s="28" t="str">
        <x:v>Government</x:v>
      </x:c>
      <x:c r="E101" s="28" t="str">
        <x:v>B</x:v>
      </x:c>
      <x:c r="F101" s="28" t="str">
        <x:v>CSV; JSON; XML</x:v>
      </x:c>
      <x:c r="G101" s="28" t="str">
        <x:v>Municipal dataset</x:v>
      </x:c>
      <x:c r="H101" s="28" t="str">
        <x:v>Ville de Laval</x:v>
      </x:c>
      <x:c r="I101" s="28" t="str">
        <x:v>Données Québec resource download / CKAN</x:v>
      </x:c>
      <x:c r="J101" s="28" t="str"/>
      <x:c r="K101" s="28" t="str">
        <x:v>https://www.donneesquebec.ca/recherche/api/3/action/package_show?id=presence-des-elus-au-conseil-municipal</x:v>
      </x:c>
      <x:c r="L101" s="28" t="str">
        <x:v>https://www.donneesquebec.ca/recherche/dataset/presence-des-elus-au-conseil-municipal</x:v>
      </x:c>
      <x:c r="M101" s="28" t="str">
        <x:v>CC BY 4.0; confirm selected resource</x:v>
      </x:c>
      <x:c r="N101" s="28" t="str">
        <x:v>See resource metadata</x:v>
      </x:c>
      <x:c r="O101" s="28" t="str">
        <x:v>Link / metadata located; payload not downloaded</x:v>
      </x:c>
      <x:c r="P101" s="28" t="str">
        <x:v>Publisher / government metadata documents the listed formats</x:v>
      </x:c>
      <x:c r="Q101" s="28" t="str">
        <x:v>Current and historical elected-member attendance resources. Resource periods differ.</x:v>
      </x:c>
      <x:c r="R101" s="28" t="str">
        <x:v>https://www.donneesquebec.ca/recherche/dataset/presence-des-elus-au-conseil-municipal</x:v>
      </x:c>
      <x:c r="S101" s="28" t="str">
        <x:v>2026-10-07</x:v>
      </x:c>
      <x:c r="T101" s="28" t="str">
        <x:v>DS-237eb8806a73</x:v>
      </x:c>
      <x:c r="U101" s="28" t="str">
        <x:v>CA-0090</x:v>
      </x:c>
      <x:c r="V101" s="28" t="str">
        <x:v>https://www.donneesquebec.ca/recherche/api/3/action/package_show?id=presence-des-elus-au-conseil-municipal</x:v>
      </x:c>
      <x:c r="W101" t="n">
        <x:f>IF(COUNTIF($T$5:T101,T101)=1,1,0)</x:f>
        <x:v>1</x:v>
      </x:c>
    </x:row>
    <x:row r="102" ht="94" customHeight="1">
      <x:c r="A102" s="28" t="str">
        <x:v>Longueuil</x:v>
      </x:c>
      <x:c r="B102" s="28" t="str">
        <x:v>QC</x:v>
      </x:c>
      <x:c r="C102" s="28" t="str">
        <x:v>RTL transit schedules, stops and routes</x:v>
      </x:c>
      <x:c r="D102" s="28" t="str">
        <x:v>Transit</x:v>
      </x:c>
      <x:c r="E102" s="28" t="str">
        <x:v>B</x:v>
      </x:c>
      <x:c r="F102" s="28" t="str">
        <x:v>GTFS ZIP (CSV text tables)</x:v>
      </x:c>
      <x:c r="G102" s="28" t="str">
        <x:v>Regional dataset; city filter required</x:v>
      </x:c>
      <x:c r="H102" s="28" t="str">
        <x:v>Réseau de transport de Longueuil</x:v>
      </x:c>
      <x:c r="I102" s="28" t="str">
        <x:v>Direct GTFS ZIP</x:v>
      </x:c>
      <x:c r="J102" s="28" t="str">
        <x:v>https://www.rtl-longueuil.qc.ca/transit/latestfeed/RTL.zip</x:v>
      </x:c>
      <x:c r="K102" s="28" t="str"/>
      <x:c r="L102" s="28" t="str">
        <x:v>https://www.rtl-longueuil.qc.ca/donnees-ouvertes</x:v>
      </x:c>
      <x:c r="M102" s="28" t="str">
        <x:v>RTL open-data terms; attribution required</x:v>
      </x:c>
      <x:c r="N102" s="28" t="str">
        <x:v>See resource metadata</x:v>
      </x:c>
      <x:c r="O102" s="28" t="str">
        <x:v>Link / metadata located; payload not downloaded</x:v>
      </x:c>
      <x:c r="P102" s="28" t="str">
        <x:v>Publisher / government metadata documents the listed formats</x:v>
      </x:c>
      <x:c r="Q102" s="28" t="str">
        <x:v>Regional transit network, not a municipal boundaries dataset. Inspect calendar.txt / calendar_dates.txt for actual service dates.</x:v>
      </x:c>
      <x:c r="R102" s="28" t="str">
        <x:v>https://www.rtl-longueuil.qc.ca/donnees-ouvertes</x:v>
      </x:c>
      <x:c r="S102" s="28" t="str">
        <x:v>2026-10-07</x:v>
      </x:c>
      <x:c r="T102" s="28" t="str">
        <x:v>DS-d371334cac7e</x:v>
      </x:c>
      <x:c r="U102" s="28" t="str">
        <x:v>CA-0075</x:v>
      </x:c>
      <x:c r="V102" s="28" t="str"/>
      <x:c r="W102" t="n">
        <x:f>IF(COUNTIF($T$5:T102,T102)=1,1,0)</x:f>
        <x:v>1</x:v>
      </x:c>
    </x:row>
    <x:row r="103" ht="94" customHeight="1">
      <x:c r="A103" s="28" t="str">
        <x:v>Montréal</x:v>
      </x:c>
      <x:c r="B103" s="28" t="str">
        <x:v>QC</x:v>
      </x:c>
      <x:c r="C103" s="28" t="str">
        <x:v>Public tree inventory, consolidated</x:v>
      </x:c>
      <x:c r="D103" s="28" t="str">
        <x:v>Environment</x:v>
      </x:c>
      <x:c r="E103" s="28" t="str">
        <x:v>B</x:v>
      </x:c>
      <x:c r="F103" s="28" t="str">
        <x:v>CSV</x:v>
      </x:c>
      <x:c r="G103" s="28" t="str">
        <x:v>Municipal dataset</x:v>
      </x:c>
      <x:c r="H103" s="28" t="str">
        <x:v>Ville de Montréal</x:v>
      </x:c>
      <x:c r="I103" s="28" t="str">
        <x:v>Direct CSV</x:v>
      </x:c>
      <x:c r="J103" s="28" t="str">
        <x:v>https://donnees.montreal.ca/dataset/b89fd27d-4b49-461b-8e54-fa2b34a628c4/resource/64e28fe6-ef37-437a-972d-d1d3f1f7d891/download/arbres-publics.csv</x:v>
      </x:c>
      <x:c r="K103" s="28" t="str"/>
      <x:c r="L103" s="28" t="str">
        <x:v>https://donnees.montreal.ca/dataset/arbres</x:v>
      </x:c>
      <x:c r="M103" s="28" t="str">
        <x:v>See Montréal / Données Québec dataset licence</x:v>
      </x:c>
      <x:c r="N103" s="28" t="str">
        <x:v>See resource metadata</x:v>
      </x:c>
      <x:c r="O103" s="28" t="str">
        <x:v>Link / metadata located; payload not downloaded</x:v>
      </x:c>
      <x:c r="P103" s="28" t="str">
        <x:v>Publisher / government metadata documents the listed formats</x:v>
      </x:c>
      <x:c r="Q103" s="28" t="str">
        <x:v>Only boroughs in the corporate inventory system. Locations may be inaccurate or outdated; some boroughs omit park trees.</x:v>
      </x:c>
      <x:c r="R103" s="28" t="str">
        <x:v>https://app.geo.ca/en-ca/map-browser/record/b89fd27d-4b49-461b-8e54-fa2b34a628c4</x:v>
      </x:c>
      <x:c r="S103" s="28" t="str">
        <x:v>2026-10-07</x:v>
      </x:c>
      <x:c r="T103" s="28" t="str">
        <x:v>DS-0dfa9b630837</x:v>
      </x:c>
      <x:c r="U103" s="28" t="str">
        <x:v>CA-0094</x:v>
      </x:c>
      <x:c r="V103" s="28" t="str"/>
      <x:c r="W103" t="n">
        <x:f>IF(COUNTIF($T$5:T103,T103)=1,1,0)</x:f>
        <x:v>1</x:v>
      </x:c>
    </x:row>
    <x:row r="104" ht="94" customHeight="1">
      <x:c r="A104" s="28" t="str">
        <x:v>Québec</x:v>
      </x:c>
      <x:c r="B104" s="28" t="str">
        <x:v>QC</x:v>
      </x:c>
      <x:c r="C104" s="28" t="str">
        <x:v>Parks with recreational structures</x:v>
      </x:c>
      <x:c r="D104" s="28" t="str">
        <x:v>Parks</x:v>
      </x:c>
      <x:c r="E104" s="28" t="str">
        <x:v>B</x:v>
      </x:c>
      <x:c r="F104" s="28" t="str">
        <x:v>CSV; KML; XLS</x:v>
      </x:c>
      <x:c r="G104" s="28" t="str">
        <x:v>Municipal dataset</x:v>
      </x:c>
      <x:c r="H104" s="28" t="str">
        <x:v>Ville de Québec</x:v>
      </x:c>
      <x:c r="I104" s="28" t="str">
        <x:v>Données Québec resource download / CKAN</x:v>
      </x:c>
      <x:c r="J104" s="28" t="str"/>
      <x:c r="K104" s="28" t="str">
        <x:v>https://www.donneesquebec.ca/recherche/api/3/action/package_show?id=vque_32</x:v>
      </x:c>
      <x:c r="L104" s="28" t="str">
        <x:v>https://www.donneesquebec.ca/recherche/dataset/vque_32</x:v>
      </x:c>
      <x:c r="M104" s="28" t="str">
        <x:v>CC BY 4.0; confirm selected resource</x:v>
      </x:c>
      <x:c r="N104" s="28" t="str">
        <x:v>See resource metadata</x:v>
      </x:c>
      <x:c r="O104" s="28" t="str">
        <x:v>Link / metadata located; payload not downloaded</x:v>
      </x:c>
      <x:c r="P104" s="28" t="str">
        <x:v>Publisher / government metadata documents the listed formats</x:v>
      </x:c>
      <x:c r="Q104" s="28" t="str">
        <x:v>CSV resource: 6ab8b3e8-2934-4fcd-a349-831253feaeb3.</x:v>
      </x:c>
      <x:c r="R104" s="28" t="str">
        <x:v>https://www.donneesquebec.ca/recherche/dataset/vque_32</x:v>
      </x:c>
      <x:c r="S104" s="28" t="str">
        <x:v>2026-10-07</x:v>
      </x:c>
      <x:c r="T104" s="28" t="str">
        <x:v>DS-b6c8f2f543e7</x:v>
      </x:c>
      <x:c r="U104" s="28" t="str">
        <x:v>CA-0093</x:v>
      </x:c>
      <x:c r="V104" s="28" t="str">
        <x:v>https://www.donneesquebec.ca/recherche/api/3/action/package_show?id=vque_32</x:v>
      </x:c>
      <x:c r="W104" t="n">
        <x:f>IF(COUNTIF($T$5:T104,T104)=1,1,0)</x:f>
        <x:v>1</x:v>
      </x:c>
    </x:row>
    <x:row r="105" ht="94" customHeight="1">
      <x:c r="A105" s="28" t="str">
        <x:v>Saguenay</x:v>
      </x:c>
      <x:c r="B105" s="28" t="str">
        <x:v>QC</x:v>
      </x:c>
      <x:c r="C105" s="28" t="str">
        <x:v>Parks and green spaces</x:v>
      </x:c>
      <x:c r="D105" s="28" t="str">
        <x:v>Parks</x:v>
      </x:c>
      <x:c r="E105" s="28" t="str">
        <x:v>B</x:v>
      </x:c>
      <x:c r="F105" s="28" t="str">
        <x:v>CSV; GeoJSON</x:v>
      </x:c>
      <x:c r="G105" s="28" t="str">
        <x:v>Municipal dataset</x:v>
      </x:c>
      <x:c r="H105" s="28" t="str">
        <x:v>Ville de Saguenay</x:v>
      </x:c>
      <x:c r="I105" s="28" t="str">
        <x:v>Données Québec resource download / CKAN</x:v>
      </x:c>
      <x:c r="J105" s="28" t="str"/>
      <x:c r="K105" s="28" t="str">
        <x:v>https://www.donneesquebec.ca/recherche/api/3/action/package_show?id=sag_parcs-et-espaces-verts</x:v>
      </x:c>
      <x:c r="L105" s="28" t="str">
        <x:v>https://www.donneesquebec.ca/recherche/dataset/sag_parcs-et-espaces-verts</x:v>
      </x:c>
      <x:c r="M105" s="28" t="str">
        <x:v>CC BY 4.0; confirm selected resource</x:v>
      </x:c>
      <x:c r="N105" s="28" t="str">
        <x:v>See resource metadata</x:v>
      </x:c>
      <x:c r="O105" s="28" t="str">
        <x:v>Link / metadata located; payload not downloaded</x:v>
      </x:c>
      <x:c r="P105" s="28" t="str">
        <x:v>Publisher / government metadata documents the listed formats</x:v>
      </x:c>
      <x:c r="Q105" s="28" t="str">
        <x:v>Publisher lists separate CSV and GeoJSON resources; check resource-specific update dates.</x:v>
      </x:c>
      <x:c r="R105" s="28" t="str">
        <x:v>https://www.donneesquebec.ca/recherche/dataset/sag_parcs-et-espaces-verts</x:v>
      </x:c>
      <x:c r="S105" s="28" t="str">
        <x:v>2026-10-07</x:v>
      </x:c>
      <x:c r="T105" s="28" t="str">
        <x:v>DS-9409733837d8</x:v>
      </x:c>
      <x:c r="U105" s="28" t="str">
        <x:v>CA-0092</x:v>
      </x:c>
      <x:c r="V105" s="28" t="str">
        <x:v>https://www.donneesquebec.ca/recherche/api/3/action/package_show?id=sag_parcs-et-espaces-verts</x:v>
      </x:c>
      <x:c r="W105" t="n">
        <x:f>IF(COUNTIF($T$5:T105,T105)=1,1,0)</x:f>
        <x:v>1</x:v>
      </x:c>
    </x:row>
    <x:row r="106" ht="94" customHeight="1">
      <x:c r="A106" s="28" t="str">
        <x:v>Sherbrooke</x:v>
      </x:c>
      <x:c r="B106" s="28" t="str">
        <x:v>QC</x:v>
      </x:c>
      <x:c r="C106" s="28" t="str">
        <x:v>Sports and recreation facilities</x:v>
      </x:c>
      <x:c r="D106" s="28" t="str">
        <x:v>Parks and recreation</x:v>
      </x:c>
      <x:c r="E106" s="28" t="str">
        <x:v>D</x:v>
      </x:c>
      <x:c r="F106" s="28" t="str">
        <x:v>Unconfirmed: CSV / GeoJSON / SHP target formats</x:v>
      </x:c>
      <x:c r="G106" s="28" t="str">
        <x:v>Municipal dataset</x:v>
      </x:c>
      <x:c r="H106" s="28" t="str">
        <x:v>City of Sherbrooke</x:v>
      </x:c>
      <x:c r="I106" s="28" t="str">
        <x:v>ArcGIS Hub Download / service API</x:v>
      </x:c>
      <x:c r="J106" s="28" t="str"/>
      <x:c r="K106" s="28" t="str"/>
      <x:c r="L106" s="28" t="str">
        <x:v>https://donneesouvertes-sherbrooke.opendata.arcgis.com/datasets/b6498f3436974ecbb8fa636a7d9c0b2f_0/explore</x:v>
      </x:c>
      <x:c r="M106" s="28" t="str">
        <x:v>See dataset licence</x:v>
      </x:c>
      <x:c r="N106" s="28" t="str">
        <x:v>See resource metadata</x:v>
      </x:c>
      <x:c r="O106" s="28" t="str">
        <x:v>Link / metadata located; payload not downloaded</x:v>
      </x:c>
      <x:c r="P106" s="28" t="str">
        <x:v>Specific dataset lead; per-resource export formats need verification</x:v>
      </x:c>
      <x:c r="Q106" s="28" t="str">
        <x:v> Use GeoJSON/SHP to retain geometry; inspect layer export options.</x:v>
      </x:c>
      <x:c r="R106" s="28" t="str">
        <x:v>https://www150.statcan.gc.ca/n1/pub/21-26-0002/2021001/meta-eng.htm</x:v>
      </x:c>
      <x:c r="S106" s="28" t="str">
        <x:v>2026-10-07</x:v>
      </x:c>
      <x:c r="T106" s="28" t="str">
        <x:v>DS-e2b95f79bb9b</x:v>
      </x:c>
      <x:c r="U106" s="28" t="str">
        <x:v>CA-0084</x:v>
      </x:c>
      <x:c r="V106" s="28" t="str">
        <x:v>https://www.arcgis.com/sharing/rest/content/items/b6498f3436974ecbb8fa636a7d9c0b2f?f=pjson</x:v>
      </x:c>
      <x:c r="W106" t="n">
        <x:f>IF(COUNTIF($T$5:T106,T106)=1,1,0)</x:f>
        <x:v>1</x:v>
      </x:c>
    </x:row>
    <x:row r="107" ht="94" customHeight="1">
      <x:c r="A107" s="28" t="str">
        <x:v>Trois-Rivières</x:v>
      </x:c>
      <x:c r="B107" s="28" t="str">
        <x:v>QC</x:v>
      </x:c>
      <x:c r="C107" s="28" t="str">
        <x:v>Zoning / Zonage</x:v>
      </x:c>
      <x:c r="D107" s="28" t="str">
        <x:v>Planning</x:v>
      </x:c>
      <x:c r="E107" s="28" t="str">
        <x:v>B</x:v>
      </x:c>
      <x:c r="F107" s="28" t="str">
        <x:v>CSV; GeoJSON; SHP</x:v>
      </x:c>
      <x:c r="G107" s="28" t="str">
        <x:v>Municipal dataset</x:v>
      </x:c>
      <x:c r="H107" s="28" t="str">
        <x:v>Ville de Trois-Rivières</x:v>
      </x:c>
      <x:c r="I107" s="28" t="str">
        <x:v>Données Québec resource download / CKAN</x:v>
      </x:c>
      <x:c r="J107" s="28" t="str">
        <x:v>https://www.donneesquebec.ca/recherche/dataset/85fa8f51-28f6-4163-9d96-eab0b185ec10/resource/46527a6d-e0cb-4404-ae9f-9ec2959c6c6f/download/zonage-v3r.csv</x:v>
      </x:c>
      <x:c r="K107" s="28" t="str">
        <x:v>https://www.donneesquebec.ca/recherche/api/3/action/package_show?id=zonage-v3r</x:v>
      </x:c>
      <x:c r="L107" s="28" t="str">
        <x:v>https://www.donneesquebec.ca/recherche/dataset/zonage-v3r</x:v>
      </x:c>
      <x:c r="M107" s="28" t="str">
        <x:v>CC BY 4.0; confirm selected resource</x:v>
      </x:c>
      <x:c r="N107" s="28" t="str">
        <x:v>See resource metadata</x:v>
      </x:c>
      <x:c r="O107" s="28" t="str">
        <x:v>Link / metadata located; payload not downloaded</x:v>
      </x:c>
      <x:c r="P107" s="28" t="str">
        <x:v>Publisher / government metadata documents the listed formats</x:v>
      </x:c>
      <x:c r="Q107" s="28" t="str">
        <x:v>Use GeoJSON or SHP for polygon geometry; CSV is suitable for attributes.</x:v>
      </x:c>
      <x:c r="R107" s="28" t="str">
        <x:v>https://app.geo.ca/fr-ca/map-browser/record/85fa8f51-28f6-4163-9d96-eab0b185ec10</x:v>
      </x:c>
      <x:c r="S107" s="28" t="str">
        <x:v>2026-10-07</x:v>
      </x:c>
      <x:c r="T107" s="28" t="str">
        <x:v>DS-218e7e2f99dc</x:v>
      </x:c>
      <x:c r="U107" s="28" t="str">
        <x:v>CA-0091</x:v>
      </x:c>
      <x:c r="V107" s="28" t="str">
        <x:v>https://www.donneesquebec.ca/recherche/api/3/action/package_show?id=zonage-v3r</x:v>
      </x:c>
      <x:c r="W107" t="n">
        <x:f>IF(COUNTIF($T$5:T107,T107)=1,1,0)</x:f>
        <x:v>1</x:v>
      </x:c>
    </x:row>
    <x:row r="108" ht="94" customHeight="1">
      <x:c r="A108" s="28" t="str">
        <x:v>Regina</x:v>
      </x:c>
      <x:c r="B108" s="28" t="str">
        <x:v>SK</x:v>
      </x:c>
      <x:c r="C108" s="28" t="str">
        <x:v>Address points and parcels</x:v>
      </x:c>
      <x:c r="D108" s="28" t="str">
        <x:v>Addresses and property</x:v>
      </x:c>
      <x:c r="E108" s="28" t="str">
        <x:v>B</x:v>
      </x:c>
      <x:c r="F108" s="28" t="str">
        <x:v>CSV; JSON; SHP; KML</x:v>
      </x:c>
      <x:c r="G108" s="28" t="str">
        <x:v>Municipal dataset</x:v>
      </x:c>
      <x:c r="H108" s="28" t="str">
        <x:v>City of Regina</x:v>
      </x:c>
      <x:c r="I108" s="28" t="str">
        <x:v>CKAN resources / ArcGIS REST</x:v>
      </x:c>
      <x:c r="J108" s="28" t="str"/>
      <x:c r="K108" s="28" t="str">
        <x:v>https://openregina.ca/api/3/action/package_show?id=address</x:v>
      </x:c>
      <x:c r="L108" s="28" t="str">
        <x:v>https://openregina.ca/dataset/address</x:v>
      </x:c>
      <x:c r="M108" s="28" t="str">
        <x:v>Open Government Licence - Regina</x:v>
      </x:c>
      <x:c r="N108" s="28" t="str">
        <x:v>See resource metadata</x:v>
      </x:c>
      <x:c r="O108" s="28" t="str">
        <x:v>Link / metadata located; payload not downloaded</x:v>
      </x:c>
      <x:c r="P108" s="28" t="str">
        <x:v>Publisher / government metadata documents the listed formats</x:v>
      </x:c>
      <x:c r="Q108" s="28" t="str">
        <x:v>CSV includes latitude and longitude. Multiple addresses on a parcel can be incomplete. The metadata date does not establish the live feed's age.</x:v>
      </x:c>
      <x:c r="R108" s="28" t="str">
        <x:v>https://openregina.ca/dataset/address</x:v>
      </x:c>
      <x:c r="S108" s="28" t="str">
        <x:v>2026-10-07</x:v>
      </x:c>
      <x:c r="T108" s="28" t="str">
        <x:v>DS-7e58dcb66ccd</x:v>
      </x:c>
      <x:c r="U108" s="28" t="str">
        <x:v>CA-0069</x:v>
      </x:c>
      <x:c r="V108" s="28" t="str">
        <x:v>https://openregina.ca/api/3/action/package_show?id=address</x:v>
      </x:c>
      <x:c r="W108" t="n">
        <x:f>IF(COUNTIF($T$5:T108,T108)=1,1,0)</x:f>
        <x:v>1</x:v>
      </x:c>
    </x:row>
    <x:row r="109" ht="94" customHeight="1">
      <x:c r="A109" s="28" t="str">
        <x:v>Regina</x:v>
      </x:c>
      <x:c r="B109" s="28" t="str">
        <x:v>SK</x:v>
      </x:c>
      <x:c r="C109" s="28" t="str">
        <x:v>Parking services tickets issued, 2025 to 2028 collection</x:v>
      </x:c>
      <x:c r="D109" s="28" t="str">
        <x:v>Parking and enforcement</x:v>
      </x:c>
      <x:c r="E109" s="28" t="str">
        <x:v>D</x:v>
      </x:c>
      <x:c r="F109" s="28" t="str">
        <x:v>CSV; XLS</x:v>
      </x:c>
      <x:c r="G109" s="28" t="str">
        <x:v>Municipal dataset</x:v>
      </x:c>
      <x:c r="H109" s="28" t="str">
        <x:v>City of Regina</x:v>
      </x:c>
      <x:c r="I109" s="28" t="str">
        <x:v>CKAN resource downloads</x:v>
      </x:c>
      <x:c r="J109" s="28" t="str"/>
      <x:c r="K109" s="28" t="str">
        <x:v>https://openregina.ca/api/3/action/package_show?id=parking-services-tickets-issued-report-2025-to-2028</x:v>
      </x:c>
      <x:c r="L109" s="28" t="str">
        <x:v>https://openregina.ca/dataset/parking-services-tickets-issued-report-2025-to-2028</x:v>
      </x:c>
      <x:c r="M109" s="28" t="str">
        <x:v>Open Government Licence - Regina</x:v>
      </x:c>
      <x:c r="N109" s="28" t="str">
        <x:v>2025 resources observed</x:v>
      </x:c>
      <x:c r="O109" s="28" t="str">
        <x:v>Link / metadata located; payload not downloaded</x:v>
      </x:c>
      <x:c r="P109" s="28" t="str">
        <x:v>Specific dataset lead; per-resource export formats need verification</x:v>
      </x:c>
      <x:c r="Q109" s="28" t="str">
        <x:v>2025 quarterly resources were listed. Collection title extending to 2028 is not evidence of future observations.</x:v>
      </x:c>
      <x:c r="R109" s="28" t="str">
        <x:v>https://openregina.ca/dataset/parking-services-tickets-issued-report-2025-to-2028</x:v>
      </x:c>
      <x:c r="S109" s="28" t="str">
        <x:v>2026-10-07</x:v>
      </x:c>
      <x:c r="T109" s="28" t="str">
        <x:v>DS-35d76f0c1988</x:v>
      </x:c>
      <x:c r="U109" s="28" t="str">
        <x:v>CA-0070</x:v>
      </x:c>
      <x:c r="V109" s="28" t="str">
        <x:v>https://openregina.ca/api/3/action/package_show?id=parking-services-tickets-issued-report-2025-to-2028</x:v>
      </x:c>
      <x:c r="W109" t="n">
        <x:f>IF(COUNTIF($T$5:T109,T109)=1,1,0)</x:f>
        <x:v>1</x:v>
      </x:c>
    </x:row>
    <x:row r="110" ht="94" customHeight="1">
      <x:c r="A110" s="28" t="str">
        <x:v>Saskatoon</x:v>
      </x:c>
      <x:c r="B110" s="28" t="str">
        <x:v>SK</x:v>
      </x:c>
      <x:c r="C110" s="28" t="str">
        <x:v>Transit schedules and real-time vehicle information</x:v>
      </x:c>
      <x:c r="D110" s="28" t="str">
        <x:v>Transit</x:v>
      </x:c>
      <x:c r="E110" s="28" t="str">
        <x:v>B</x:v>
      </x:c>
      <x:c r="F110" s="28" t="str">
        <x:v>GTFS ZIP (CSV text tables); GTFS-RT (Protocol Buffers)</x:v>
      </x:c>
      <x:c r="G110" s="28" t="str">
        <x:v>Municipal dataset</x:v>
      </x:c>
      <x:c r="H110" s="28" t="str">
        <x:v>Saskatoon Transit</x:v>
      </x:c>
      <x:c r="I110" s="28" t="str">
        <x:v>Operator links / transit category in city catalogue</x:v>
      </x:c>
      <x:c r="J110" s="28" t="str"/>
      <x:c r="K110" s="28" t="str"/>
      <x:c r="L110" s="28" t="str">
        <x:v>https://saskatoontransit.ca/about-us/open-data-saskatoon-transit</x:v>
      </x:c>
      <x:c r="M110" s="28" t="str">
        <x:v>Operator permits for-profit and non-profit applications</x:v>
      </x:c>
      <x:c r="N110" s="28" t="str">
        <x:v>See resource metadata</x:v>
      </x:c>
      <x:c r="O110" s="28" t="str">
        <x:v>Link / metadata located; payload not downloaded</x:v>
      </x:c>
      <x:c r="P110" s="28" t="str">
        <x:v>Publisher / government metadata documents the listed formats</x:v>
      </x:c>
      <x:c r="Q110" s="28" t="str">
        <x:v>Static feed includes stops, routes and trips. Real-time feed includes trip updates, alerts and vehicle positions.</x:v>
      </x:c>
      <x:c r="R110" s="28" t="str">
        <x:v>https://saskatoontransit.ca/about-us/open-data-saskatoon-transit</x:v>
      </x:c>
      <x:c r="S110" s="28" t="str">
        <x:v>2026-10-07</x:v>
      </x:c>
      <x:c r="T110" s="28" t="str">
        <x:v>DS-5b92c6e6cb9f</x:v>
      </x:c>
      <x:c r="U110" s="28" t="str">
        <x:v>CA-0079</x:v>
      </x:c>
      <x:c r="V110" s="28" t="str"/>
      <x:c r="W110" t="n">
        <x:f>IF(COUNTIF($T$5:T110,T110)=1,1,0)</x:f>
        <x:v>1</x:v>
      </x:c>
    </x:row>
    <x:row r="111" ht="94" customHeight="1">
      <x:c r="A111" s="28" t="str">
        <x:v>Whitehorse</x:v>
      </x:c>
      <x:c r="B111" s="28" t="str">
        <x:v>YT</x:v>
      </x:c>
      <x:c r="C111" s="28" t="str">
        <x:v>Census 2021 household type, Yukon communities</x:v>
      </x:c>
      <x:c r="D111" s="28" t="str">
        <x:v>Demographics</x:v>
      </x:c>
      <x:c r="E111" s="28" t="str">
        <x:v>B</x:v>
      </x:c>
      <x:c r="F111" s="28" t="str">
        <x:v>CSV</x:v>
      </x:c>
      <x:c r="G111" s="28" t="str">
        <x:v>Territorial dataset; city filter required</x:v>
      </x:c>
      <x:c r="H111" s="28" t="str">
        <x:v>Government of Yukon</x:v>
      </x:c>
      <x:c r="I111" s="28" t="str">
        <x:v>Government of Yukon resource download</x:v>
      </x:c>
      <x:c r="J111" s="28" t="str"/>
      <x:c r="K111" s="28" t="str"/>
      <x:c r="L111" s="28" t="str">
        <x:v>https://open.yukon.ca/data/census-2021-census-profile/resource/3d4fd87b-81aa-4f2b-ae80-3a790340f00e</x:v>
      </x:c>
      <x:c r="M111" s="28" t="str">
        <x:v>Open Government Licence - Yukon</x:v>
      </x:c>
      <x:c r="N111" s="28" t="str">
        <x:v>2021 Census</x:v>
      </x:c>
      <x:c r="O111" s="28" t="str">
        <x:v>Link / metadata located; payload not downloaded</x:v>
      </x:c>
      <x:c r="P111" s="28" t="str">
        <x:v>Publisher / government metadata documents the listed formats</x:v>
      </x:c>
      <x:c r="Q111" s="28" t="str">
        <x:v>Territorial fallback, not City of Whitehorse data. Filter to Whitehorse geography. Census observations are from 2021.</x:v>
      </x:c>
      <x:c r="R111" s="28" t="str">
        <x:v>https://open.yukon.ca/data/census-2021-census-profile/resource/3d4fd87b-81aa-4f2b-ae80-3a790340f00e</x:v>
      </x:c>
      <x:c r="S111" s="28" t="str">
        <x:v>2026-10-07</x:v>
      </x:c>
      <x:c r="T111" s="28" t="str">
        <x:v>DS-89ebf7559fe2</x:v>
      </x:c>
      <x:c r="U111" s="28" t="str">
        <x:v>CA-0095</x:v>
      </x:c>
      <x:c r="V111" s="28" t="str"/>
      <x:c r="W111" t="n">
        <x:f>IF(COUNTIF($T$5:T111,T111)=1,1,0)</x:f>
        <x:v>1</x:v>
      </x:c>
    </x:row>
  </x:sheetData>
  <x:mergeCells>
    <x:mergeCell ref="A1:V1"/>
    <x:mergeCell ref="A2:V2"/>
  </x:mergeCells>
  <x:conditionalFormatting sqref="E5:E111">
    <x:cfRule type="expression" dxfId="0" priority="1">
      <x:formula>E5="A"</x:formula>
    </x:cfRule>
    <x:cfRule type="expression" dxfId="1" priority="2">
      <x:formula>E5="B"</x:formula>
    </x:cfRule>
    <x:cfRule type="expression" dxfId="2" priority="3">
      <x:formula>E5="C"</x:formula>
    </x:cfRule>
    <x:cfRule type="expression" dxfId="3" priority="4">
      <x:formula>E5="D"</x:formula>
    </x:cfRule>
  </x:conditionalFormatting>
  <x:pageMargins left="0.7" right="0.7" top="0.75" bottom="0.75" header="0.3" footer="0.3"/>
  <x:tableParts count="1">
    <x:tablePart xmlns:r="http://schemas.openxmlformats.org/officeDocument/2006/relationships" r:id="Rd91437d1304a479f"/>
  </x:tableParts>
</x:worksheet>
</file>

<file path=xl/worksheets/sheet3.xml><?xml version="1.0" encoding="utf-8"?>
<x:worksheet xmlns:x="http://schemas.openxmlformats.org/spreadsheetml/2006/main">
  <x:sheetFormatPr defaultRowHeight="15"/>
  <x:cols>
    <x:col min="1" max="1" width="23" hidden="0" customWidth="1"/>
    <x:col min="2" max="2" width="10" hidden="0" customWidth="1"/>
    <x:col min="3" max="3" width="39" hidden="0" customWidth="1"/>
    <x:col min="4" max="4" width="10" hidden="0" customWidth="1"/>
    <x:col min="5" max="5" width="12" hidden="0" customWidth="1"/>
    <x:col min="6" max="6" width="40" hidden="0" customWidth="1"/>
    <x:col min="7" max="7" width="26" hidden="0" customWidth="1"/>
    <x:col min="8" max="8" width="28" hidden="0" customWidth="1"/>
    <x:col min="9" max="9" width="36" hidden="0" customWidth="1"/>
    <x:col min="10" max="10" width="40" hidden="0" customWidth="1"/>
    <x:col min="11" max="11" width="26" hidden="0" customWidth="1"/>
    <x:col min="12" max="12" width="40" hidden="0" customWidth="1"/>
    <x:col min="13" max="13" width="40" hidden="0" customWidth="1"/>
    <x:col min="14" max="14" width="14" hidden="0" customWidth="1"/>
  </x:cols>
  <x:sheetData>
    <x:row r="1" ht="34" customHeight="1">
      <x:c r="A1" s="6" t="str">
        <x:v>CITY SOURCE INDEX</x:v>
      </x:c>
      <x:c r="B1" s="6"/>
      <x:c r="C1" s="6"/>
      <x:c r="D1" s="6"/>
      <x:c r="E1" s="6"/>
      <x:c r="F1" s="6"/>
      <x:c r="G1" s="6"/>
      <x:c r="H1" s="6"/>
      <x:c r="I1" s="6"/>
      <x:c r="J1" s="6"/>
      <x:c r="K1" s="6"/>
      <x:c r="L1" s="6"/>
      <x:c r="M1" s="6"/>
      <x:c r="N1" s="6"/>
    </x:row>
    <x:row r="2" ht="32" customHeight="1">
      <x:c r="A2" s="13" t="str">
        <x:v>70 municipalities. Source presence is not a claim that a current local bulk export was verified. National baseline is a shared resource.</x:v>
      </x:c>
      <x:c r="B2" s="13"/>
      <x:c r="C2" s="13"/>
      <x:c r="D2" s="13"/>
      <x:c r="E2" s="13"/>
      <x:c r="F2" s="13"/>
      <x:c r="G2" s="13"/>
      <x:c r="H2" s="13"/>
      <x:c r="I2" s="13"/>
      <x:c r="J2" s="13"/>
      <x:c r="K2" s="13"/>
      <x:c r="L2" s="13"/>
      <x:c r="M2" s="13"/>
      <x:c r="N2" s="13"/>
    </x:row>
    <x:row r="3">
      <x:c r="A3" s="2"/>
      <x:c r="B3" s="2"/>
      <x:c r="C3" s="2"/>
      <x:c r="D3" s="2"/>
      <x:c r="E3" s="2"/>
      <x:c r="F3" s="2"/>
      <x:c r="G3" s="2"/>
      <x:c r="H3" s="2"/>
      <x:c r="I3" s="2"/>
      <x:c r="J3" s="2"/>
      <x:c r="K3" s="2"/>
      <x:c r="L3" s="2"/>
      <x:c r="M3" s="2"/>
      <x:c r="N3" s="2"/>
    </x:row>
    <x:row r="4" ht="32" customHeight="1">
      <x:c r="A4" s="21" t="str">
        <x:v>City / municipality</x:v>
      </x:c>
      <x:c r="B4" s="21" t="str">
        <x:v>Province</x:v>
      </x:c>
      <x:c r="C4" s="21" t="str">
        <x:v>Dataset selection status</x:v>
      </x:c>
      <x:c r="D4" s="21" t="str">
        <x:v>Entries</x:v>
      </x:c>
      <x:c r="E4" s="21" t="str">
        <x:v>A / B / C entries</x:v>
      </x:c>
      <x:c r="F4" s="21" t="str">
        <x:v>Official / regional source</x:v>
      </x:c>
      <x:c r="G4" s="21" t="str">
        <x:v>Platform</x:v>
      </x:c>
      <x:c r="H4" s="21" t="str">
        <x:v>Selected topics</x:v>
      </x:c>
      <x:c r="I4" s="21" t="str">
        <x:v>Source coverage status</x:v>
      </x:c>
      <x:c r="J4" s="21" t="str">
        <x:v>Cautions</x:v>
      </x:c>
      <x:c r="K4" s="21" t="str">
        <x:v>National fallback ID</x:v>
      </x:c>
      <x:c r="L4" s="21" t="str">
        <x:v>National CSV fallback</x:v>
      </x:c>
      <x:c r="M4" s="21" t="str">
        <x:v>Research source URL</x:v>
      </x:c>
      <x:c r="N4" s="21" t="str">
        <x:v>Checked date</x:v>
      </x:c>
    </x:row>
    <x:row r="5" ht="86" customHeight="1">
      <x:c r="A5" s="28" t="str">
        <x:v>Airdrie</x:v>
      </x:c>
      <x:c r="B5" s="28" t="str">
        <x:v>AB</x:v>
      </x:c>
      <x:c r="C5" s="28" t="str">
        <x:v>Specific dataset lead(s); export verification required</x:v>
      </x:c>
      <x:c r="D5" s="28" t="n">
        <x:f>COUNTIFS(Datasets!$A$5:$A$111,A5,Datasets!$B$5:$B$111,B5)</x:f>
        <x:v>1</x:v>
      </x:c>
      <x:c r="E5" s="28" t="n">
        <x:f>COUNTIFS(Datasets!$A$5:$A$111,A5,Datasets!$B$5:$B$111,B5,Datasets!$E$5:$E$111,"&lt;&gt;D")</x:f>
        <x:v>0</x:v>
      </x:c>
      <x:c r="F5" s="28" t="str">
        <x:v>https://data-airdrie.opendata.arcgis.com/</x:v>
      </x:c>
      <x:c r="G5" s="28" t="str">
        <x:v>ArcGIS Hub</x:v>
      </x:c>
      <x:c r="H5" s="28" t="str">
        <x:v>Parks and recreation</x:v>
      </x:c>
      <x:c r="I5" s="28" t="str">
        <x:v>Official catalogue located</x:v>
      </x:c>
      <x:c r="J5" s="28" t="str"/>
      <x:c r="K5" s="28" t="str">
        <x:v>CA_STATCAN_98100002</x:v>
      </x:c>
      <x:c r="L5" s="28" t="str">
        <x:v>https://www150.statcan.gc.ca/n1/tbl/csv/98100002-eng.zip</x:v>
      </x:c>
      <x:c r="M5" s="28" t="str">
        <x:v>https://www150.statcan.gc.ca/n1/pub/21-26-0002/2021001/meta-eng.htm</x:v>
      </x:c>
      <x:c r="N5" s="28" t="str">
        <x:v>2026-10-07</x:v>
      </x:c>
    </x:row>
    <x:row r="6" ht="86" customHeight="1">
      <x:c r="A6" s="28" t="str">
        <x:v>Calgary</x:v>
      </x:c>
      <x:c r="B6" s="28" t="str">
        <x:v>AB</x:v>
      </x:c>
      <x:c r="C6" s="28" t="str">
        <x:v>Specific dataset(s) with documented format / derived endpoint</x:v>
      </x:c>
      <x:c r="D6" s="28" t="n">
        <x:f>COUNTIFS(Datasets!$A$5:$A$111,A6,Datasets!$B$5:$B$111,B6)</x:f>
        <x:v>3</x:v>
      </x:c>
      <x:c r="E6" s="28" t="n">
        <x:f>COUNTIFS(Datasets!$A$5:$A$111,A6,Datasets!$B$5:$B$111,B6,Datasets!$E$5:$E$111,"&lt;&gt;D")</x:f>
        <x:v>3</x:v>
      </x:c>
      <x:c r="F6" s="28" t="str">
        <x:v>https://data.calgary.ca/</x:v>
      </x:c>
      <x:c r="G6" s="28" t="str">
        <x:v>Socrata</x:v>
      </x:c>
      <x:c r="H6" s="28" t="str">
        <x:v>Construction; Demographics; Transportation</x:v>
      </x:c>
      <x:c r="I6" s="28" t="str">
        <x:v>Official catalogue located</x:v>
      </x:c>
      <x:c r="J6" s="28" t="str"/>
      <x:c r="K6" s="28" t="str">
        <x:v>CA_STATCAN_98100002</x:v>
      </x:c>
      <x:c r="L6" s="28" t="str">
        <x:v>https://www150.statcan.gc.ca/n1/tbl/csv/98100002-eng.zip</x:v>
      </x:c>
      <x:c r="M6" s="28" t="str">
        <x:v>https://data.calgary.ca/</x:v>
      </x:c>
      <x:c r="N6" s="28" t="str">
        <x:v>2026-10-07</x:v>
      </x:c>
    </x:row>
    <x:row r="7" ht="86" customHeight="1">
      <x:c r="A7" s="28" t="str">
        <x:v>Edmonton</x:v>
      </x:c>
      <x:c r="B7" s="28" t="str">
        <x:v>AB</x:v>
      </x:c>
      <x:c r="C7" s="28" t="str">
        <x:v>Specific dataset(s) with documented format / derived endpoint</x:v>
      </x:c>
      <x:c r="D7" s="28" t="n">
        <x:f>COUNTIFS(Datasets!$A$5:$A$111,A7,Datasets!$B$5:$B$111,B7)</x:f>
        <x:v>3</x:v>
      </x:c>
      <x:c r="E7" s="28" t="n">
        <x:f>COUNTIFS(Datasets!$A$5:$A$111,A7,Datasets!$B$5:$B$111,B7,Datasets!$E$5:$E$111,"&lt;&gt;D")</x:f>
        <x:v>3</x:v>
      </x:c>
      <x:c r="F7" s="28" t="str">
        <x:v>https://data.edmonton.ca/</x:v>
      </x:c>
      <x:c r="G7" s="28" t="str">
        <x:v>Socrata</x:v>
      </x:c>
      <x:c r="H7" s="28" t="str">
        <x:v>Business; Construction; Planning</x:v>
      </x:c>
      <x:c r="I7" s="28" t="str">
        <x:v>Official catalogue located</x:v>
      </x:c>
      <x:c r="J7" s="28" t="str"/>
      <x:c r="K7" s="28" t="str">
        <x:v>CA_STATCAN_98100002</x:v>
      </x:c>
      <x:c r="L7" s="28" t="str">
        <x:v>https://www150.statcan.gc.ca/n1/tbl/csv/98100002-eng.zip</x:v>
      </x:c>
      <x:c r="M7" s="28" t="str">
        <x:v>https://data.edmonton.ca/</x:v>
      </x:c>
      <x:c r="N7" s="28" t="str">
        <x:v>2026-10-07</x:v>
      </x:c>
    </x:row>
    <x:row r="8" ht="86" customHeight="1">
      <x:c r="A8" s="28" t="str">
        <x:v>Lethbridge</x:v>
      </x:c>
      <x:c r="B8" s="28" t="str">
        <x:v>AB</x:v>
      </x:c>
      <x:c r="C8" s="28" t="str">
        <x:v>Specific dataset lead(s); export verification required</x:v>
      </x:c>
      <x:c r="D8" s="28" t="n">
        <x:f>COUNTIFS(Datasets!$A$5:$A$111,A8,Datasets!$B$5:$B$111,B8)</x:f>
        <x:v>2</x:v>
      </x:c>
      <x:c r="E8" s="28" t="n">
        <x:f>COUNTIFS(Datasets!$A$5:$A$111,A8,Datasets!$B$5:$B$111,B8,Datasets!$E$5:$E$111,"&lt;&gt;D")</x:f>
        <x:v>0</x:v>
      </x:c>
      <x:c r="F8" s="28" t="str">
        <x:v>https://opendata.lethbridge.ca/</x:v>
      </x:c>
      <x:c r="G8" s="28" t="str">
        <x:v>ArcGIS Hub</x:v>
      </x:c>
      <x:c r="H8" s="28" t="str">
        <x:v>Buildings; Public facilities</x:v>
      </x:c>
      <x:c r="I8" s="28" t="str">
        <x:v>Official catalogue located</x:v>
      </x:c>
      <x:c r="J8" s="28" t="str"/>
      <x:c r="K8" s="28" t="str">
        <x:v>CA_STATCAN_98100002</x:v>
      </x:c>
      <x:c r="L8" s="28" t="str">
        <x:v>https://www150.statcan.gc.ca/n1/tbl/csv/98100002-eng.zip</x:v>
      </x:c>
      <x:c r="M8" s="28" t="str">
        <x:v>https://www150.statcan.gc.ca/n1/pub/34-26-0001/2018001/metadata-eng.htm</x:v>
      </x:c>
      <x:c r="N8" s="28" t="str">
        <x:v>2026-10-07</x:v>
      </x:c>
    </x:row>
    <x:row r="9" ht="86" customHeight="1">
      <x:c r="A9" s="28" t="str">
        <x:v>Red Deer</x:v>
      </x:c>
      <x:c r="B9" s="28" t="str">
        <x:v>AB</x:v>
      </x:c>
      <x:c r="C9" s="28" t="str">
        <x:v>Specific dataset(s) with documented format / derived endpoint</x:v>
      </x:c>
      <x:c r="D9" s="28" t="n">
        <x:f>COUNTIFS(Datasets!$A$5:$A$111,A9,Datasets!$B$5:$B$111,B9)</x:f>
        <x:v>3</x:v>
      </x:c>
      <x:c r="E9" s="28" t="n">
        <x:f>COUNTIFS(Datasets!$A$5:$A$111,A9,Datasets!$B$5:$B$111,B9,Datasets!$E$5:$E$111,"&lt;&gt;D")</x:f>
        <x:v>3</x:v>
      </x:c>
      <x:c r="F9" s="28" t="str">
        <x:v>https://data.reddeer.ca/</x:v>
      </x:c>
      <x:c r="G9" s="28" t="str">
        <x:v>Municipal download catalogue</x:v>
      </x:c>
      <x:c r="H9" s="28" t="str">
        <x:v>Addresses and property; Development and business</x:v>
      </x:c>
      <x:c r="I9" s="28" t="str">
        <x:v>Official catalogue located</x:v>
      </x:c>
      <x:c r="J9" s="28" t="str"/>
      <x:c r="K9" s="28" t="str">
        <x:v>CA_STATCAN_98100002</x:v>
      </x:c>
      <x:c r="L9" s="28" t="str">
        <x:v>https://www150.statcan.gc.ca/n1/tbl/csv/98100002-eng.zip</x:v>
      </x:c>
      <x:c r="M9" s="28" t="str">
        <x:v>https://data.reddeer.ca/</x:v>
      </x:c>
      <x:c r="N9" s="28" t="str">
        <x:v>2026-10-07</x:v>
      </x:c>
    </x:row>
    <x:row r="10" ht="86" customHeight="1">
      <x:c r="A10" s="28" t="str">
        <x:v>Abbotsford</x:v>
      </x:c>
      <x:c r="B10" s="28" t="str">
        <x:v>BC</x:v>
      </x:c>
      <x:c r="C10" s="28" t="str">
        <x:v>Specific dataset lead(s); export verification required</x:v>
      </x:c>
      <x:c r="D10" s="28" t="n">
        <x:f>COUNTIFS(Datasets!$A$5:$A$111,A10,Datasets!$B$5:$B$111,B10)</x:f>
        <x:v>1</x:v>
      </x:c>
      <x:c r="E10" s="28" t="n">
        <x:f>COUNTIFS(Datasets!$A$5:$A$111,A10,Datasets!$B$5:$B$111,B10,Datasets!$E$5:$E$111,"&lt;&gt;D")</x:f>
        <x:v>0</x:v>
      </x:c>
      <x:c r="F10" s="28" t="str">
        <x:v>https://opendata-abbotsford.hub.arcgis.com/</x:v>
      </x:c>
      <x:c r="G10" s="28" t="str">
        <x:v>ArcGIS Hub</x:v>
      </x:c>
      <x:c r="H10" s="28" t="str">
        <x:v>Transportation</x:v>
      </x:c>
      <x:c r="I10" s="28" t="str">
        <x:v>Official catalogue located</x:v>
      </x:c>
      <x:c r="J10" s="28" t="str"/>
      <x:c r="K10" s="28" t="str">
        <x:v>CA_STATCAN_98100002</x:v>
      </x:c>
      <x:c r="L10" s="28" t="str">
        <x:v>https://www150.statcan.gc.ca/n1/tbl/csv/98100002-eng.zip</x:v>
      </x:c>
      <x:c r="M10" s="28" t="str">
        <x:v>https://www150.statcan.gc.ca/n1/pub/21-26-0002/2021001/meta-eng.htm</x:v>
      </x:c>
      <x:c r="N10" s="28" t="str">
        <x:v>2026-10-07</x:v>
      </x:c>
    </x:row>
    <x:row r="11" ht="86" customHeight="1">
      <x:c r="A11" s="28" t="str">
        <x:v>Burnaby</x:v>
      </x:c>
      <x:c r="B11" s="28" t="str">
        <x:v>BC</x:v>
      </x:c>
      <x:c r="C11" s="28" t="str">
        <x:v>Specific dataset lead(s); export verification required</x:v>
      </x:c>
      <x:c r="D11" s="28" t="n">
        <x:f>COUNTIFS(Datasets!$A$5:$A$111,A11,Datasets!$B$5:$B$111,B11)</x:f>
        <x:v>2</x:v>
      </x:c>
      <x:c r="E11" s="28" t="n">
        <x:f>COUNTIFS(Datasets!$A$5:$A$111,A11,Datasets!$B$5:$B$111,B11,Datasets!$E$5:$E$111,"&lt;&gt;D")</x:f>
        <x:v>0</x:v>
      </x:c>
      <x:c r="F11" s="28" t="str">
        <x:v>https://data.burnaby.ca/</x:v>
      </x:c>
      <x:c r="G11" s="28" t="str">
        <x:v>ArcGIS Hub</x:v>
      </x:c>
      <x:c r="H11" s="28" t="str">
        <x:v>Parks and recreation; Transportation</x:v>
      </x:c>
      <x:c r="I11" s="28" t="str">
        <x:v>Official catalogue located</x:v>
      </x:c>
      <x:c r="J11" s="28" t="str"/>
      <x:c r="K11" s="28" t="str">
        <x:v>CA_STATCAN_98100002</x:v>
      </x:c>
      <x:c r="L11" s="28" t="str">
        <x:v>https://www150.statcan.gc.ca/n1/tbl/csv/98100002-eng.zip</x:v>
      </x:c>
      <x:c r="M11" s="28" t="str">
        <x:v>https://www150.statcan.gc.ca/n1/pub/21-26-0002/2021001/meta-eng.htm</x:v>
      </x:c>
      <x:c r="N11" s="28" t="str">
        <x:v>2026-10-07</x:v>
      </x:c>
    </x:row>
    <x:row r="12" ht="86" customHeight="1">
      <x:c r="A12" s="28" t="str">
        <x:v>Chilliwack</x:v>
      </x:c>
      <x:c r="B12" s="28" t="str">
        <x:v>BC</x:v>
      </x:c>
      <x:c r="C12" s="28" t="str">
        <x:v>Specific dataset(s) with documented format / derived endpoint</x:v>
      </x:c>
      <x:c r="D12" s="28" t="n">
        <x:f>COUNTIFS(Datasets!$A$5:$A$111,A12,Datasets!$B$5:$B$111,B12)</x:f>
        <x:v>1</x:v>
      </x:c>
      <x:c r="E12" s="28" t="n">
        <x:f>COUNTIFS(Datasets!$A$5:$A$111,A12,Datasets!$B$5:$B$111,B12,Datasets!$E$5:$E$111,"&lt;&gt;D")</x:f>
        <x:v>1</x:v>
      </x:c>
      <x:c r="F12" s="28" t="str">
        <x:v>https://www.chilliwack.com/main/page.cfm?id=2331</x:v>
      </x:c>
      <x:c r="G12" s="28" t="str">
        <x:v>Municipal download catalogue</x:v>
      </x:c>
      <x:c r="H12" s="28" t="str">
        <x:v>Planning</x:v>
      </x:c>
      <x:c r="I12" s="28" t="str">
        <x:v>Official catalogue located</x:v>
      </x:c>
      <x:c r="J12" s="28" t="str">
        <x:v>Data download may require accepting terms.</x:v>
      </x:c>
      <x:c r="K12" s="28" t="str">
        <x:v>CA_STATCAN_98100002</x:v>
      </x:c>
      <x:c r="L12" s="28" t="str">
        <x:v>https://www150.statcan.gc.ca/n1/tbl/csv/98100002-eng.zip</x:v>
      </x:c>
      <x:c r="M12" s="28" t="str">
        <x:v>https://www.chilliwack.com/main/page.cfm?id=2331</x:v>
      </x:c>
      <x:c r="N12" s="28" t="str">
        <x:v>2026-10-07</x:v>
      </x:c>
    </x:row>
    <x:row r="13" ht="86" customHeight="1">
      <x:c r="A13" s="28" t="str">
        <x:v>Coquitlam</x:v>
      </x:c>
      <x:c r="B13" s="28" t="str">
        <x:v>BC</x:v>
      </x:c>
      <x:c r="C13" s="28" t="str">
        <x:v>Specific dataset lead(s); export verification required</x:v>
      </x:c>
      <x:c r="D13" s="28" t="n">
        <x:f>COUNTIFS(Datasets!$A$5:$A$111,A13,Datasets!$B$5:$B$111,B13)</x:f>
        <x:v>2</x:v>
      </x:c>
      <x:c r="E13" s="28" t="n">
        <x:f>COUNTIFS(Datasets!$A$5:$A$111,A13,Datasets!$B$5:$B$111,B13,Datasets!$E$5:$E$111,"&lt;&gt;D")</x:f>
        <x:v>0</x:v>
      </x:c>
      <x:c r="F13" s="28" t="str">
        <x:v>https://data.coquitlam.ca/</x:v>
      </x:c>
      <x:c r="G13" s="28" t="str">
        <x:v>ArcGIS Hub</x:v>
      </x:c>
      <x:c r="H13" s="28" t="str">
        <x:v>Parks and recreation</x:v>
      </x:c>
      <x:c r="I13" s="28" t="str">
        <x:v>Official catalogue located</x:v>
      </x:c>
      <x:c r="J13" s="28" t="str"/>
      <x:c r="K13" s="28" t="str">
        <x:v>CA_STATCAN_98100002</x:v>
      </x:c>
      <x:c r="L13" s="28" t="str">
        <x:v>https://www150.statcan.gc.ca/n1/tbl/csv/98100002-eng.zip</x:v>
      </x:c>
      <x:c r="M13" s="28" t="str">
        <x:v>https://data.coquitlam.ca/</x:v>
      </x:c>
      <x:c r="N13" s="28" t="str">
        <x:v>2026-10-07</x:v>
      </x:c>
    </x:row>
    <x:row r="14" ht="86" customHeight="1">
      <x:c r="A14" s="28" t="str">
        <x:v>Delta</x:v>
      </x:c>
      <x:c r="B14" s="28" t="str">
        <x:v>BC</x:v>
      </x:c>
      <x:c r="C14" s="28" t="str">
        <x:v>No local dataset selected; national CSV fallback</x:v>
      </x:c>
      <x:c r="D14" s="28" t="n">
        <x:f>COUNTIFS(Datasets!$A$5:$A$111,A14,Datasets!$B$5:$B$111,B14)</x:f>
        <x:v>0</x:v>
      </x:c>
      <x:c r="E14" s="28" t="n">
        <x:f>COUNTIFS(Datasets!$A$5:$A$111,A14,Datasets!$B$5:$B$111,B14,Datasets!$E$5:$E$111,"&lt;&gt;D")</x:f>
        <x:v>0</x:v>
      </x:c>
      <x:c r="F14" s="28" t="str">
        <x:v>https://opendata-deltabc.hub.arcgis.com/</x:v>
      </x:c>
      <x:c r="G14" s="28" t="str">
        <x:v>ArcGIS Hub</x:v>
      </x:c>
      <x:c r="H14" s="28" t="str"/>
      <x:c r="I14" s="28" t="str">
        <x:v>Source index; local dataset selection pending</x:v>
      </x:c>
      <x:c r="J14" s="28" t="str">
        <x:v>New portal launched December 2025; use this rather than the retired catalogue.</x:v>
      </x:c>
      <x:c r="K14" s="28" t="str">
        <x:v>CA_STATCAN_98100002</x:v>
      </x:c>
      <x:c r="L14" s="28" t="str">
        <x:v>https://www150.statcan.gc.ca/n1/tbl/csv/98100002-eng.zip</x:v>
      </x:c>
      <x:c r="M14" s="28" t="str">
        <x:v>https://www.delta.ca/city-hall/municipal-information/open-data-catalogue</x:v>
      </x:c>
      <x:c r="N14" s="28" t="str">
        <x:v>2026-10-07</x:v>
      </x:c>
    </x:row>
    <x:row r="15" ht="86" customHeight="1">
      <x:c r="A15" s="28" t="str">
        <x:v>Kamloops</x:v>
      </x:c>
      <x:c r="B15" s="28" t="str">
        <x:v>BC</x:v>
      </x:c>
      <x:c r="C15" s="28" t="str">
        <x:v>Specific dataset lead(s); export verification required</x:v>
      </x:c>
      <x:c r="D15" s="28" t="n">
        <x:f>COUNTIFS(Datasets!$A$5:$A$111,A15,Datasets!$B$5:$B$111,B15)</x:f>
        <x:v>1</x:v>
      </x:c>
      <x:c r="E15" s="28" t="n">
        <x:f>COUNTIFS(Datasets!$A$5:$A$111,A15,Datasets!$B$5:$B$111,B15,Datasets!$E$5:$E$111,"&lt;&gt;D")</x:f>
        <x:v>0</x:v>
      </x:c>
      <x:c r="F15" s="28" t="str">
        <x:v>https://mydata-kamloops.opendata.arcgis.com/</x:v>
      </x:c>
      <x:c r="G15" s="28" t="str">
        <x:v>ArcGIS Hub</x:v>
      </x:c>
      <x:c r="H15" s="28" t="str">
        <x:v>Parks and recreation</x:v>
      </x:c>
      <x:c r="I15" s="28" t="str">
        <x:v>Official catalogue located</x:v>
      </x:c>
      <x:c r="J15" s="28" t="str"/>
      <x:c r="K15" s="28" t="str">
        <x:v>CA_STATCAN_98100002</x:v>
      </x:c>
      <x:c r="L15" s="28" t="str">
        <x:v>https://www150.statcan.gc.ca/n1/tbl/csv/98100002-eng.zip</x:v>
      </x:c>
      <x:c r="M15" s="28" t="str">
        <x:v>https://www150.statcan.gc.ca/n1/pub/21-26-0002/2021001/meta-eng.htm</x:v>
      </x:c>
      <x:c r="N15" s="28" t="str">
        <x:v>2026-10-07</x:v>
      </x:c>
    </x:row>
    <x:row r="16" ht="86" customHeight="1">
      <x:c r="A16" s="28" t="str">
        <x:v>Kelowna</x:v>
      </x:c>
      <x:c r="B16" s="28" t="str">
        <x:v>BC</x:v>
      </x:c>
      <x:c r="C16" s="28" t="str">
        <x:v>Specific dataset lead(s); export verification required</x:v>
      </x:c>
      <x:c r="D16" s="28" t="n">
        <x:f>COUNTIFS(Datasets!$A$5:$A$111,A16,Datasets!$B$5:$B$111,B16)</x:f>
        <x:v>2</x:v>
      </x:c>
      <x:c r="E16" s="28" t="n">
        <x:f>COUNTIFS(Datasets!$A$5:$A$111,A16,Datasets!$B$5:$B$111,B16,Datasets!$E$5:$E$111,"&lt;&gt;D")</x:f>
        <x:v>0</x:v>
      </x:c>
      <x:c r="F16" s="28" t="str">
        <x:v>https://opendata.kelowna.ca/</x:v>
      </x:c>
      <x:c r="G16" s="28" t="str">
        <x:v>ArcGIS Hub</x:v>
      </x:c>
      <x:c r="H16" s="28" t="str">
        <x:v>Parks and recreation</x:v>
      </x:c>
      <x:c r="I16" s="28" t="str">
        <x:v>Official catalogue located</x:v>
      </x:c>
      <x:c r="J16" s="28" t="str"/>
      <x:c r="K16" s="28" t="str">
        <x:v>CA_STATCAN_98100002</x:v>
      </x:c>
      <x:c r="L16" s="28" t="str">
        <x:v>https://www150.statcan.gc.ca/n1/tbl/csv/98100002-eng.zip</x:v>
      </x:c>
      <x:c r="M16" s="28" t="str">
        <x:v>https://www150.statcan.gc.ca/n1/pub/21-26-0002/2021001/meta-eng.htm</x:v>
      </x:c>
      <x:c r="N16" s="28" t="str">
        <x:v>2026-10-07</x:v>
      </x:c>
    </x:row>
    <x:row r="17" ht="86" customHeight="1">
      <x:c r="A17" s="28" t="str">
        <x:v>Langley (Township)</x:v>
      </x:c>
      <x:c r="B17" s="28" t="str">
        <x:v>BC</x:v>
      </x:c>
      <x:c r="C17" s="28" t="str">
        <x:v>No local dataset selected; national CSV fallback</x:v>
      </x:c>
      <x:c r="D17" s="28" t="n">
        <x:f>COUNTIFS(Datasets!$A$5:$A$111,A17,Datasets!$B$5:$B$111,B17)</x:f>
        <x:v>0</x:v>
      </x:c>
      <x:c r="E17" s="28" t="n">
        <x:f>COUNTIFS(Datasets!$A$5:$A$111,A17,Datasets!$B$5:$B$111,B17,Datasets!$E$5:$E$111,"&lt;&gt;D")</x:f>
        <x:v>0</x:v>
      </x:c>
      <x:c r="F17" s="28" t="str">
        <x:v>https://data-tol.opendata.arcgis.com/</x:v>
      </x:c>
      <x:c r="G17" s="28" t="str">
        <x:v>ArcGIS Hub</x:v>
      </x:c>
      <x:c r="H17" s="28" t="str"/>
      <x:c r="I17" s="28" t="str">
        <x:v>Source index; local dataset selection pending</x:v>
      </x:c>
      <x:c r="J17" s="28" t="str">
        <x:v>Township of Langley, not the separate City of Langley.</x:v>
      </x:c>
      <x:c r="K17" s="28" t="str">
        <x:v>CA_STATCAN_98100002</x:v>
      </x:c>
      <x:c r="L17" s="28" t="str">
        <x:v>https://www150.statcan.gc.ca/n1/tbl/csv/98100002-eng.zip</x:v>
      </x:c>
      <x:c r="M17" s="28" t="str">
        <x:v>https://www.tol.ca/en/connect/open-data.aspx</x:v>
      </x:c>
      <x:c r="N17" s="28" t="str">
        <x:v>2026-10-07</x:v>
      </x:c>
    </x:row>
    <x:row r="18" ht="86" customHeight="1">
      <x:c r="A18" s="28" t="str">
        <x:v>Nanaimo</x:v>
      </x:c>
      <x:c r="B18" s="28" t="str">
        <x:v>BC</x:v>
      </x:c>
      <x:c r="C18" s="28" t="str">
        <x:v>Specific dataset lead(s); export verification required</x:v>
      </x:c>
      <x:c r="D18" s="28" t="n">
        <x:f>COUNTIFS(Datasets!$A$5:$A$111,A18,Datasets!$B$5:$B$111,B18)</x:f>
        <x:v>1</x:v>
      </x:c>
      <x:c r="E18" s="28" t="n">
        <x:f>COUNTIFS(Datasets!$A$5:$A$111,A18,Datasets!$B$5:$B$111,B18,Datasets!$E$5:$E$111,"&lt;&gt;D")</x:f>
        <x:v>0</x:v>
      </x:c>
      <x:c r="F18" s="28" t="str">
        <x:v>https://gisdata.nanaimo.ca/</x:v>
      </x:c>
      <x:c r="G18" s="28" t="str">
        <x:v>ArcGIS Hub</x:v>
      </x:c>
      <x:c r="H18" s="28" t="str">
        <x:v>Parks</x:v>
      </x:c>
      <x:c r="I18" s="28" t="str">
        <x:v>Official catalogue located</x:v>
      </x:c>
      <x:c r="J18" s="28" t="str"/>
      <x:c r="K18" s="28" t="str">
        <x:v>CA_STATCAN_98100002</x:v>
      </x:c>
      <x:c r="L18" s="28" t="str">
        <x:v>https://www150.statcan.gc.ca/n1/tbl/csv/98100002-eng.zip</x:v>
      </x:c>
      <x:c r="M18" s="28" t="str">
        <x:v>https://gisdata.nanaimo.ca/</x:v>
      </x:c>
      <x:c r="N18" s="28" t="str">
        <x:v>2026-10-07</x:v>
      </x:c>
    </x:row>
    <x:row r="19" ht="86" customHeight="1">
      <x:c r="A19" s="28" t="str">
        <x:v>New Westminster</x:v>
      </x:c>
      <x:c r="B19" s="28" t="str">
        <x:v>BC</x:v>
      </x:c>
      <x:c r="C19" s="28" t="str">
        <x:v>Specific dataset lead(s); export verification required</x:v>
      </x:c>
      <x:c r="D19" s="28" t="n">
        <x:f>COUNTIFS(Datasets!$A$5:$A$111,A19,Datasets!$B$5:$B$111,B19)</x:f>
        <x:v>1</x:v>
      </x:c>
      <x:c r="E19" s="28" t="n">
        <x:f>COUNTIFS(Datasets!$A$5:$A$111,A19,Datasets!$B$5:$B$111,B19,Datasets!$E$5:$E$111,"&lt;&gt;D")</x:f>
        <x:v>0</x:v>
      </x:c>
      <x:c r="F19" s="28" t="str">
        <x:v>https://opendata.newwestcity.ca/</x:v>
      </x:c>
      <x:c r="G19" s="28" t="str">
        <x:v>ArcGIS Hub</x:v>
      </x:c>
      <x:c r="H19" s="28" t="str">
        <x:v>Parks and recreation</x:v>
      </x:c>
      <x:c r="I19" s="28" t="str">
        <x:v>Official catalogue located</x:v>
      </x:c>
      <x:c r="J19" s="28" t="str"/>
      <x:c r="K19" s="28" t="str">
        <x:v>CA_STATCAN_98100002</x:v>
      </x:c>
      <x:c r="L19" s="28" t="str">
        <x:v>https://www150.statcan.gc.ca/n1/tbl/csv/98100002-eng.zip</x:v>
      </x:c>
      <x:c r="M19" s="28" t="str">
        <x:v>https://www150.statcan.gc.ca/n1/pub/21-26-0002/2021001/meta-eng.htm</x:v>
      </x:c>
      <x:c r="N19" s="28" t="str">
        <x:v>2026-10-07</x:v>
      </x:c>
    </x:row>
    <x:row r="20" ht="86" customHeight="1">
      <x:c r="A20" s="28" t="str">
        <x:v>North Vancouver (District)</x:v>
      </x:c>
      <x:c r="B20" s="28" t="str">
        <x:v>BC</x:v>
      </x:c>
      <x:c r="C20" s="28" t="str">
        <x:v>Specific dataset lead(s); export verification required</x:v>
      </x:c>
      <x:c r="D20" s="28" t="n">
        <x:f>COUNTIFS(Datasets!$A$5:$A$111,A20,Datasets!$B$5:$B$111,B20)</x:f>
        <x:v>1</x:v>
      </x:c>
      <x:c r="E20" s="28" t="n">
        <x:f>COUNTIFS(Datasets!$A$5:$A$111,A20,Datasets!$B$5:$B$111,B20,Datasets!$E$5:$E$111,"&lt;&gt;D")</x:f>
        <x:v>0</x:v>
      </x:c>
      <x:c r="F20" s="28" t="str">
        <x:v>https://www.geoweb.dnv.org/data/#</x:v>
      </x:c>
      <x:c r="G20" s="28" t="str">
        <x:v>Municipal GIS downloads</x:v>
      </x:c>
      <x:c r="H20" s="28" t="str">
        <x:v>Parks</x:v>
      </x:c>
      <x:c r="I20" s="28" t="str">
        <x:v>Official catalogue located</x:v>
      </x:c>
      <x:c r="J20" s="28" t="str">
        <x:v>District, not City of North Vancouver.</x:v>
      </x:c>
      <x:c r="K20" s="28" t="str">
        <x:v>CA_STATCAN_98100002</x:v>
      </x:c>
      <x:c r="L20" s="28" t="str">
        <x:v>https://www150.statcan.gc.ca/n1/tbl/csv/98100002-eng.zip</x:v>
      </x:c>
      <x:c r="M20" s="28" t="str">
        <x:v>https://www.geoweb.dnv.org/data/#</x:v>
      </x:c>
      <x:c r="N20" s="28" t="str">
        <x:v>2026-10-07</x:v>
      </x:c>
    </x:row>
    <x:row r="21" ht="86" customHeight="1">
      <x:c r="A21" s="28" t="str">
        <x:v>Richmond</x:v>
      </x:c>
      <x:c r="B21" s="28" t="str">
        <x:v>BC</x:v>
      </x:c>
      <x:c r="C21" s="28" t="str">
        <x:v>Specific dataset(s) with documented format / derived endpoint</x:v>
      </x:c>
      <x:c r="D21" s="28" t="n">
        <x:f>COUNTIFS(Datasets!$A$5:$A$111,A21,Datasets!$B$5:$B$111,B21)</x:f>
        <x:v>1</x:v>
      </x:c>
      <x:c r="E21" s="28" t="n">
        <x:f>COUNTIFS(Datasets!$A$5:$A$111,A21,Datasets!$B$5:$B$111,B21,Datasets!$E$5:$E$111,"&lt;&gt;D")</x:f>
        <x:v>1</x:v>
      </x:c>
      <x:c r="F21" s="28" t="str">
        <x:v>https://www.translink.ca/about-us/doing-business-with-translink/app-developer-resources</x:v>
      </x:c>
      <x:c r="G21" s="28" t="str">
        <x:v>Regional transit developer portal</x:v>
      </x:c>
      <x:c r="H21" s="28" t="str">
        <x:v>Transport</x:v>
      </x:c>
      <x:c r="I21" s="28" t="str">
        <x:v>Source index; local dataset selection pending</x:v>
      </x:c>
      <x:c r="J21" s="28" t="str">
        <x:v>TransLink regional source. A municipal bulk-data catalogue was not verified; realtime APIs require registration.</x:v>
      </x:c>
      <x:c r="K21" s="28" t="str">
        <x:v>CA_STATCAN_98100002</x:v>
      </x:c>
      <x:c r="L21" s="28" t="str">
        <x:v>https://www150.statcan.gc.ca/n1/tbl/csv/98100002-eng.zip</x:v>
      </x:c>
      <x:c r="M21" s="28" t="str">
        <x:v>https://www.translink.ca/about-us/doing-business-with-translink/app-developer-resources</x:v>
      </x:c>
      <x:c r="N21" s="28" t="str">
        <x:v>2026-10-07</x:v>
      </x:c>
    </x:row>
    <x:row r="22" ht="86" customHeight="1">
      <x:c r="A22" s="28" t="str">
        <x:v>Saanich</x:v>
      </x:c>
      <x:c r="B22" s="28" t="str">
        <x:v>BC</x:v>
      </x:c>
      <x:c r="C22" s="28" t="str">
        <x:v>Specific dataset lead(s); export verification required</x:v>
      </x:c>
      <x:c r="D22" s="28" t="n">
        <x:f>COUNTIFS(Datasets!$A$5:$A$111,A22,Datasets!$B$5:$B$111,B22)</x:f>
        <x:v>2</x:v>
      </x:c>
      <x:c r="E22" s="28" t="n">
        <x:f>COUNTIFS(Datasets!$A$5:$A$111,A22,Datasets!$B$5:$B$111,B22,Datasets!$E$5:$E$111,"&lt;&gt;D")</x:f>
        <x:v>0</x:v>
      </x:c>
      <x:c r="F22" s="28" t="str">
        <x:v>https://opendata-saanich.hub.arcgis.com</x:v>
      </x:c>
      <x:c r="G22" s="28" t="str">
        <x:v>ArcGIS Hub</x:v>
      </x:c>
      <x:c r="H22" s="28" t="str">
        <x:v>Parks; Transport</x:v>
      </x:c>
      <x:c r="I22" s="28" t="str">
        <x:v>Official catalogue located</x:v>
      </x:c>
      <x:c r="J22" s="28" t="str"/>
      <x:c r="K22" s="28" t="str">
        <x:v>CA_STATCAN_98100002</x:v>
      </x:c>
      <x:c r="L22" s="28" t="str">
        <x:v>https://www150.statcan.gc.ca/n1/tbl/csv/98100002-eng.zip</x:v>
      </x:c>
      <x:c r="M22" s="28" t="str">
        <x:v>https://opendata-saanich.hub.arcgis.com</x:v>
      </x:c>
      <x:c r="N22" s="28" t="str">
        <x:v>2026-10-07</x:v>
      </x:c>
    </x:row>
    <x:row r="23" ht="86" customHeight="1">
      <x:c r="A23" s="28" t="str">
        <x:v>Surrey</x:v>
      </x:c>
      <x:c r="B23" s="28" t="str">
        <x:v>BC</x:v>
      </x:c>
      <x:c r="C23" s="28" t="str">
        <x:v>Specific dataset lead(s); export verification required</x:v>
      </x:c>
      <x:c r="D23" s="28" t="n">
        <x:f>COUNTIFS(Datasets!$A$5:$A$111,A23,Datasets!$B$5:$B$111,B23)</x:f>
        <x:v>2</x:v>
      </x:c>
      <x:c r="E23" s="28" t="n">
        <x:f>COUNTIFS(Datasets!$A$5:$A$111,A23,Datasets!$B$5:$B$111,B23,Datasets!$E$5:$E$111,"&lt;&gt;D")</x:f>
        <x:v>0</x:v>
      </x:c>
      <x:c r="F23" s="28" t="str">
        <x:v>https://opendata-surrey.hub.arcgis.com/</x:v>
      </x:c>
      <x:c r="G23" s="28" t="str">
        <x:v>ArcGIS Hub</x:v>
      </x:c>
      <x:c r="H23" s="28" t="str">
        <x:v>Parks and places</x:v>
      </x:c>
      <x:c r="I23" s="28" t="str">
        <x:v>Official catalogue located</x:v>
      </x:c>
      <x:c r="J23" s="28" t="str"/>
      <x:c r="K23" s="28" t="str">
        <x:v>CA_STATCAN_98100002</x:v>
      </x:c>
      <x:c r="L23" s="28" t="str">
        <x:v>https://www150.statcan.gc.ca/n1/tbl/csv/98100002-eng.zip</x:v>
      </x:c>
      <x:c r="M23" s="28" t="str">
        <x:v>https://opendata-surrey.hub.arcgis.com/</x:v>
      </x:c>
      <x:c r="N23" s="28" t="str">
        <x:v>2026-10-07</x:v>
      </x:c>
    </x:row>
    <x:row r="24" ht="86" customHeight="1">
      <x:c r="A24" s="28" t="str">
        <x:v>Vancouver</x:v>
      </x:c>
      <x:c r="B24" s="28" t="str">
        <x:v>BC</x:v>
      </x:c>
      <x:c r="C24" s="28" t="str">
        <x:v>Specific dataset(s) with documented format / derived endpoint</x:v>
      </x:c>
      <x:c r="D24" s="28" t="n">
        <x:f>COUNTIFS(Datasets!$A$5:$A$111,A24,Datasets!$B$5:$B$111,B24)</x:f>
        <x:v>6</x:v>
      </x:c>
      <x:c r="E24" s="28" t="n">
        <x:f>COUNTIFS(Datasets!$A$5:$A$111,A24,Datasets!$B$5:$B$111,B24,Datasets!$E$5:$E$111,"&lt;&gt;D")</x:f>
        <x:v>6</x:v>
      </x:c>
      <x:c r="F24" s="28" t="str">
        <x:v>https://opendata.vancouver.ca/</x:v>
      </x:c>
      <x:c r="G24" s="28" t="str">
        <x:v>Opendatasoft</x:v>
      </x:c>
      <x:c r="H24" s="28" t="str">
        <x:v>Business; Construction; Parks and recreation; Property; Public facilities</x:v>
      </x:c>
      <x:c r="I24" s="28" t="str">
        <x:v>Official catalogue located</x:v>
      </x:c>
      <x:c r="J24" s="28" t="str"/>
      <x:c r="K24" s="28" t="str">
        <x:v>CA_STATCAN_98100002</x:v>
      </x:c>
      <x:c r="L24" s="28" t="str">
        <x:v>https://www150.statcan.gc.ca/n1/tbl/csv/98100002-eng.zip</x:v>
      </x:c>
      <x:c r="M24" s="28" t="str">
        <x:v>https://opendata.vancouver.ca/</x:v>
      </x:c>
      <x:c r="N24" s="28" t="str">
        <x:v>2026-10-07</x:v>
      </x:c>
    </x:row>
    <x:row r="25" ht="86" customHeight="1">
      <x:c r="A25" s="28" t="str">
        <x:v>Victoria</x:v>
      </x:c>
      <x:c r="B25" s="28" t="str">
        <x:v>BC</x:v>
      </x:c>
      <x:c r="C25" s="28" t="str">
        <x:v>Specific dataset lead(s); export verification required</x:v>
      </x:c>
      <x:c r="D25" s="28" t="n">
        <x:f>COUNTIFS(Datasets!$A$5:$A$111,A25,Datasets!$B$5:$B$111,B25)</x:f>
        <x:v>3</x:v>
      </x:c>
      <x:c r="E25" s="28" t="n">
        <x:f>COUNTIFS(Datasets!$A$5:$A$111,A25,Datasets!$B$5:$B$111,B25,Datasets!$E$5:$E$111,"&lt;&gt;D")</x:f>
        <x:v>0</x:v>
      </x:c>
      <x:c r="F25" s="28" t="str">
        <x:v>https://opendata.victoria.ca/</x:v>
      </x:c>
      <x:c r="G25" s="28" t="str">
        <x:v>ArcGIS Hub</x:v>
      </x:c>
      <x:c r="H25" s="28" t="str">
        <x:v>Parks and recreation; Public facilities; Transportation</x:v>
      </x:c>
      <x:c r="I25" s="28" t="str">
        <x:v>Official catalogue located</x:v>
      </x:c>
      <x:c r="J25" s="28" t="str"/>
      <x:c r="K25" s="28" t="str">
        <x:v>CA_STATCAN_98100002</x:v>
      </x:c>
      <x:c r="L25" s="28" t="str">
        <x:v>https://www150.statcan.gc.ca/n1/tbl/csv/98100002-eng.zip</x:v>
      </x:c>
      <x:c r="M25" s="28" t="str">
        <x:v>https://www150.statcan.gc.ca/n1/pub/21-26-0002/2021001/meta-eng.htm</x:v>
      </x:c>
      <x:c r="N25" s="28" t="str">
        <x:v>2026-10-07</x:v>
      </x:c>
    </x:row>
    <x:row r="26" ht="86" customHeight="1">
      <x:c r="A26" s="28" t="str">
        <x:v>Winnipeg</x:v>
      </x:c>
      <x:c r="B26" s="28" t="str">
        <x:v>MB</x:v>
      </x:c>
      <x:c r="C26" s="28" t="str">
        <x:v>Specific dataset(s) with documented format / derived endpoint</x:v>
      </x:c>
      <x:c r="D26" s="28" t="n">
        <x:f>COUNTIFS(Datasets!$A$5:$A$111,A26,Datasets!$B$5:$B$111,B26)</x:f>
        <x:v>4</x:v>
      </x:c>
      <x:c r="E26" s="28" t="n">
        <x:f>COUNTIFS(Datasets!$A$5:$A$111,A26,Datasets!$B$5:$B$111,B26,Datasets!$E$5:$E$111,"&lt;&gt;D")</x:f>
        <x:v>4</x:v>
      </x:c>
      <x:c r="F26" s="28" t="str">
        <x:v>https://data.winnipeg.ca/</x:v>
      </x:c>
      <x:c r="G26" s="28" t="str">
        <x:v>Socrata</x:v>
      </x:c>
      <x:c r="H26" s="28" t="str">
        <x:v>Addresses; Construction; Transportation</x:v>
      </x:c>
      <x:c r="I26" s="28" t="str">
        <x:v>Official catalogue located</x:v>
      </x:c>
      <x:c r="J26" s="28" t="str"/>
      <x:c r="K26" s="28" t="str">
        <x:v>CA_STATCAN_98100002</x:v>
      </x:c>
      <x:c r="L26" s="28" t="str">
        <x:v>https://www150.statcan.gc.ca/n1/tbl/csv/98100002-eng.zip</x:v>
      </x:c>
      <x:c r="M26" s="28" t="str">
        <x:v>https://data.winnipeg.ca/</x:v>
      </x:c>
      <x:c r="N26" s="28" t="str">
        <x:v>2026-10-07</x:v>
      </x:c>
    </x:row>
    <x:row r="27" ht="86" customHeight="1">
      <x:c r="A27" s="28" t="str">
        <x:v>Fredericton</x:v>
      </x:c>
      <x:c r="B27" s="28" t="str">
        <x:v>NB</x:v>
      </x:c>
      <x:c r="C27" s="28" t="str">
        <x:v>Specific dataset lead(s); export verification required</x:v>
      </x:c>
      <x:c r="D27" s="28" t="n">
        <x:f>COUNTIFS(Datasets!$A$5:$A$111,A27,Datasets!$B$5:$B$111,B27)</x:f>
        <x:v>2</x:v>
      </x:c>
      <x:c r="E27" s="28" t="n">
        <x:f>COUNTIFS(Datasets!$A$5:$A$111,A27,Datasets!$B$5:$B$111,B27,Datasets!$E$5:$E$111,"&lt;&gt;D")</x:f>
        <x:v>0</x:v>
      </x:c>
      <x:c r="F27" s="28" t="str">
        <x:v>https://data-fredericton.opendata.arcgis.com/</x:v>
      </x:c>
      <x:c r="G27" s="28" t="str">
        <x:v>ArcGIS Hub</x:v>
      </x:c>
      <x:c r="H27" s="28" t="str">
        <x:v>Parks and recreation</x:v>
      </x:c>
      <x:c r="I27" s="28" t="str">
        <x:v>Official catalogue located</x:v>
      </x:c>
      <x:c r="J27" s="28" t="str"/>
      <x:c r="K27" s="28" t="str">
        <x:v>CA_STATCAN_98100002</x:v>
      </x:c>
      <x:c r="L27" s="28" t="str">
        <x:v>https://www150.statcan.gc.ca/n1/tbl/csv/98100002-eng.zip</x:v>
      </x:c>
      <x:c r="M27" s="28" t="str">
        <x:v>https://www150.statcan.gc.ca/n1/pub/21-26-0002/2021001/meta-eng.htm</x:v>
      </x:c>
      <x:c r="N27" s="28" t="str">
        <x:v>2026-10-07</x:v>
      </x:c>
    </x:row>
    <x:row r="28" ht="86" customHeight="1">
      <x:c r="A28" s="28" t="str">
        <x:v>Moncton</x:v>
      </x:c>
      <x:c r="B28" s="28" t="str">
        <x:v>NB</x:v>
      </x:c>
      <x:c r="C28" s="28" t="str">
        <x:v>Specific dataset lead(s); export verification required</x:v>
      </x:c>
      <x:c r="D28" s="28" t="n">
        <x:f>COUNTIFS(Datasets!$A$5:$A$111,A28,Datasets!$B$5:$B$111,B28)</x:f>
        <x:v>2</x:v>
      </x:c>
      <x:c r="E28" s="28" t="n">
        <x:f>COUNTIFS(Datasets!$A$5:$A$111,A28,Datasets!$B$5:$B$111,B28,Datasets!$E$5:$E$111,"&lt;&gt;D")</x:f>
        <x:v>0</x:v>
      </x:c>
      <x:c r="F28" s="28" t="str">
        <x:v>https://open.moncton.ca/</x:v>
      </x:c>
      <x:c r="G28" s="28" t="str">
        <x:v>ArcGIS Hub</x:v>
      </x:c>
      <x:c r="H28" s="28" t="str">
        <x:v>Parks and recreation; Transportation</x:v>
      </x:c>
      <x:c r="I28" s="28" t="str">
        <x:v>Official catalogue located</x:v>
      </x:c>
      <x:c r="J28" s="28" t="str"/>
      <x:c r="K28" s="28" t="str">
        <x:v>CA_STATCAN_98100002</x:v>
      </x:c>
      <x:c r="L28" s="28" t="str">
        <x:v>https://www150.statcan.gc.ca/n1/tbl/csv/98100002-eng.zip</x:v>
      </x:c>
      <x:c r="M28" s="28" t="str">
        <x:v>https://www150.statcan.gc.ca/n1/pub/21-26-0002/2021001/meta-eng.htm</x:v>
      </x:c>
      <x:c r="N28" s="28" t="str">
        <x:v>2026-10-07</x:v>
      </x:c>
    </x:row>
    <x:row r="29" ht="86" customHeight="1">
      <x:c r="A29" s="28" t="str">
        <x:v>Saint John</x:v>
      </x:c>
      <x:c r="B29" s="28" t="str">
        <x:v>NB</x:v>
      </x:c>
      <x:c r="C29" s="28" t="str">
        <x:v>Specific dataset lead(s); export verification required</x:v>
      </x:c>
      <x:c r="D29" s="28" t="n">
        <x:f>COUNTIFS(Datasets!$A$5:$A$111,A29,Datasets!$B$5:$B$111,B29)</x:f>
        <x:v>2</x:v>
      </x:c>
      <x:c r="E29" s="28" t="n">
        <x:f>COUNTIFS(Datasets!$A$5:$A$111,A29,Datasets!$B$5:$B$111,B29,Datasets!$E$5:$E$111,"&lt;&gt;D")</x:f>
        <x:v>0</x:v>
      </x:c>
      <x:c r="F29" s="28" t="str">
        <x:v>https://catalogue-saintjohn.opendata.arcgis.com/</x:v>
      </x:c>
      <x:c r="G29" s="28" t="str">
        <x:v>ArcGIS Hub</x:v>
      </x:c>
      <x:c r="H29" s="28" t="str">
        <x:v>Parks and recreation; Public facilities</x:v>
      </x:c>
      <x:c r="I29" s="28" t="str">
        <x:v>Official catalogue located</x:v>
      </x:c>
      <x:c r="J29" s="28" t="str"/>
      <x:c r="K29" s="28" t="str">
        <x:v>CA_STATCAN_98100002</x:v>
      </x:c>
      <x:c r="L29" s="28" t="str">
        <x:v>https://www150.statcan.gc.ca/n1/tbl/csv/98100002-eng.zip</x:v>
      </x:c>
      <x:c r="M29" s="28" t="str">
        <x:v>https://www150.statcan.gc.ca/n1/pub/21-26-0002/2021001/meta-eng.htm</x:v>
      </x:c>
      <x:c r="N29" s="28" t="str">
        <x:v>2026-10-07</x:v>
      </x:c>
    </x:row>
    <x:row r="30" ht="86" customHeight="1">
      <x:c r="A30" s="28" t="str">
        <x:v>St. John's</x:v>
      </x:c>
      <x:c r="B30" s="28" t="str">
        <x:v>NL</x:v>
      </x:c>
      <x:c r="C30" s="28" t="str">
        <x:v>No local dataset selected; national CSV fallback</x:v>
      </x:c>
      <x:c r="D30" s="28" t="n">
        <x:f>COUNTIFS(Datasets!$A$5:$A$111,A30,Datasets!$B$5:$B$111,B30)</x:f>
        <x:v>0</x:v>
      </x:c>
      <x:c r="E30" s="28" t="n">
        <x:f>COUNTIFS(Datasets!$A$5:$A$111,A30,Datasets!$B$5:$B$111,B30,Datasets!$E$5:$E$111,"&lt;&gt;D")</x:f>
        <x:v>0</x:v>
      </x:c>
      <x:c r="F30" s="28" t="str">
        <x:v>https://www.stjohns.ca/</x:v>
      </x:c>
      <x:c r="G30" s="28" t="str">
        <x:v>Municipal source unresolved</x:v>
      </x:c>
      <x:c r="H30" s="28" t="str"/>
      <x:c r="I30" s="28" t="str">
        <x:v>Municipal raw-data source not verified</x:v>
      </x:c>
      <x:c r="J30" s="28" t="str">
        <x:v>No reusable municipal catalogue verified in this research. National census provides a documented CSV fallback.</x:v>
      </x:c>
      <x:c r="K30" s="28" t="str">
        <x:v>CA_STATCAN_98100002</x:v>
      </x:c>
      <x:c r="L30" s="28" t="str">
        <x:v>https://www150.statcan.gc.ca/n1/tbl/csv/98100002-eng.zip</x:v>
      </x:c>
      <x:c r="M30" s="28" t="str">
        <x:v>https://www.stjohns.ca/</x:v>
      </x:c>
      <x:c r="N30" s="28" t="str">
        <x:v>2026-10-07</x:v>
      </x:c>
    </x:row>
    <x:row r="31" ht="86" customHeight="1">
      <x:c r="A31" s="28" t="str">
        <x:v>Halifax</x:v>
      </x:c>
      <x:c r="B31" s="28" t="str">
        <x:v>NS</x:v>
      </x:c>
      <x:c r="C31" s="28" t="str">
        <x:v>Specific dataset lead(s); export verification required</x:v>
      </x:c>
      <x:c r="D31" s="28" t="n">
        <x:f>COUNTIFS(Datasets!$A$5:$A$111,A31,Datasets!$B$5:$B$111,B31)</x:f>
        <x:v>2</x:v>
      </x:c>
      <x:c r="E31" s="28" t="n">
        <x:f>COUNTIFS(Datasets!$A$5:$A$111,A31,Datasets!$B$5:$B$111,B31,Datasets!$E$5:$E$111,"&lt;&gt;D")</x:f>
        <x:v>0</x:v>
      </x:c>
      <x:c r="F31" s="28" t="str">
        <x:v>https://data-hrm.hub.arcgis.com/pages/open-data-catalogue</x:v>
      </x:c>
      <x:c r="G31" s="28" t="str">
        <x:v>ArcGIS Hub</x:v>
      </x:c>
      <x:c r="H31" s="28" t="str">
        <x:v>Parks and recreation</x:v>
      </x:c>
      <x:c r="I31" s="28" t="str">
        <x:v>Official catalogue located</x:v>
      </x:c>
      <x:c r="J31" s="28" t="str"/>
      <x:c r="K31" s="28" t="str">
        <x:v>CA_STATCAN_98100002</x:v>
      </x:c>
      <x:c r="L31" s="28" t="str">
        <x:v>https://www150.statcan.gc.ca/n1/tbl/csv/98100002-eng.zip</x:v>
      </x:c>
      <x:c r="M31" s="28" t="str">
        <x:v>https://data-hrm.hub.arcgis.com/pages/open-data-catalogue</x:v>
      </x:c>
      <x:c r="N31" s="28" t="str">
        <x:v>2026-10-07</x:v>
      </x:c>
    </x:row>
    <x:row r="32" ht="86" customHeight="1">
      <x:c r="A32" s="28" t="str">
        <x:v>Yellowknife</x:v>
      </x:c>
      <x:c r="B32" s="28" t="str">
        <x:v>NT</x:v>
      </x:c>
      <x:c r="C32" s="28" t="str">
        <x:v>Specific dataset lead(s); export verification required</x:v>
      </x:c>
      <x:c r="D32" s="28" t="n">
        <x:f>COUNTIFS(Datasets!$A$5:$A$111,A32,Datasets!$B$5:$B$111,B32)</x:f>
        <x:v>1</x:v>
      </x:c>
      <x:c r="E32" s="28" t="n">
        <x:f>COUNTIFS(Datasets!$A$5:$A$111,A32,Datasets!$B$5:$B$111,B32,Datasets!$E$5:$E$111,"&lt;&gt;D")</x:f>
        <x:v>0</x:v>
      </x:c>
      <x:c r="F32" s="28" t="str">
        <x:v>https://opendata.yellowknife.ca/</x:v>
      </x:c>
      <x:c r="G32" s="28" t="str">
        <x:v>ArcGIS Hub</x:v>
      </x:c>
      <x:c r="H32" s="28" t="str">
        <x:v>Parks and recreation</x:v>
      </x:c>
      <x:c r="I32" s="28" t="str">
        <x:v>Official catalogue located</x:v>
      </x:c>
      <x:c r="J32" s="28" t="str"/>
      <x:c r="K32" s="28" t="str">
        <x:v>CA_STATCAN_98100002</x:v>
      </x:c>
      <x:c r="L32" s="28" t="str">
        <x:v>https://www150.statcan.gc.ca/n1/tbl/csv/98100002-eng.zip</x:v>
      </x:c>
      <x:c r="M32" s="28" t="str">
        <x:v>https://opendata.yellowknife.ca/</x:v>
      </x:c>
      <x:c r="N32" s="28" t="str">
        <x:v>2026-10-07</x:v>
      </x:c>
    </x:row>
    <x:row r="33" ht="86" customHeight="1">
      <x:c r="A33" s="28" t="str">
        <x:v>Iqaluit</x:v>
      </x:c>
      <x:c r="B33" s="28" t="str">
        <x:v>NU</x:v>
      </x:c>
      <x:c r="C33" s="28" t="str">
        <x:v>No local dataset selected; national CSV fallback</x:v>
      </x:c>
      <x:c r="D33" s="28" t="n">
        <x:f>COUNTIFS(Datasets!$A$5:$A$111,A33,Datasets!$B$5:$B$111,B33)</x:f>
        <x:v>0</x:v>
      </x:c>
      <x:c r="E33" s="28" t="n">
        <x:f>COUNTIFS(Datasets!$A$5:$A$111,A33,Datasets!$B$5:$B$111,B33,Datasets!$E$5:$E$111,"&lt;&gt;D")</x:f>
        <x:v>0</x:v>
      </x:c>
      <x:c r="F33" s="28" t="str">
        <x:v>https://plan.iqaluit.ca/pages/map</x:v>
      </x:c>
      <x:c r="G33" s="28" t="str">
        <x:v>GIS viewer / federal fallback</x:v>
      </x:c>
      <x:c r="H33" s="28" t="str"/>
      <x:c r="I33" s="28" t="str">
        <x:v>Public GIS located; bulk export and licence unresolved</x:v>
      </x:c>
      <x:c r="J33" s="28" t="str">
        <x:v>Public municipal viewer found; open bulk downloads and licence not established. Federal geospatial and census alternatives are separately labelled.</x:v>
      </x:c>
      <x:c r="K33" s="28" t="str">
        <x:v>CA_STATCAN_98100002</x:v>
      </x:c>
      <x:c r="L33" s="28" t="str">
        <x:v>https://www150.statcan.gc.ca/n1/tbl/csv/98100002-eng.zip</x:v>
      </x:c>
      <x:c r="M33" s="28" t="str">
        <x:v>https://plan.iqaluit.ca/pages/map</x:v>
      </x:c>
      <x:c r="N33" s="28" t="str">
        <x:v>2026-10-07</x:v>
      </x:c>
    </x:row>
    <x:row r="34" ht="86" customHeight="1">
      <x:c r="A34" s="28" t="str">
        <x:v>Ajax</x:v>
      </x:c>
      <x:c r="B34" s="28" t="str">
        <x:v>ON</x:v>
      </x:c>
      <x:c r="C34" s="28" t="str">
        <x:v>No local dataset selected; national CSV fallback</x:v>
      </x:c>
      <x:c r="D34" s="28" t="n">
        <x:f>COUNTIFS(Datasets!$A$5:$A$111,A34,Datasets!$B$5:$B$111,B34)</x:f>
        <x:v>0</x:v>
      </x:c>
      <x:c r="E34" s="28" t="n">
        <x:f>COUNTIFS(Datasets!$A$5:$A$111,A34,Datasets!$B$5:$B$111,B34,Datasets!$E$5:$E$111,"&lt;&gt;D")</x:f>
        <x:v>0</x:v>
      </x:c>
      <x:c r="F34" s="28" t="str">
        <x:v>https://opendata.durham.ca/</x:v>
      </x:c>
      <x:c r="G34" s="28" t="str">
        <x:v>Regional ArcGIS Hub</x:v>
      </x:c>
      <x:c r="H34" s="28" t="str"/>
      <x:c r="I34" s="28" t="str">
        <x:v>Source index; local dataset selection pending</x:v>
      </x:c>
      <x:c r="J34" s="28" t="str">
        <x:v>Durham regional source; filter by municipal geography.</x:v>
      </x:c>
      <x:c r="K34" s="28" t="str">
        <x:v>CA_STATCAN_98100002</x:v>
      </x:c>
      <x:c r="L34" s="28" t="str">
        <x:v>https://www150.statcan.gc.ca/n1/tbl/csv/98100002-eng.zip</x:v>
      </x:c>
      <x:c r="M34" s="28" t="str">
        <x:v>https://opendata.durham.ca/</x:v>
      </x:c>
      <x:c r="N34" s="28" t="str">
        <x:v>2026-10-07</x:v>
      </x:c>
    </x:row>
    <x:row r="35" ht="86" customHeight="1">
      <x:c r="A35" s="28" t="str">
        <x:v>Barrie</x:v>
      </x:c>
      <x:c r="B35" s="28" t="str">
        <x:v>ON</x:v>
      </x:c>
      <x:c r="C35" s="28" t="str">
        <x:v>Specific dataset lead(s); export verification required</x:v>
      </x:c>
      <x:c r="D35" s="28" t="n">
        <x:f>COUNTIFS(Datasets!$A$5:$A$111,A35,Datasets!$B$5:$B$111,B35)</x:f>
        <x:v>2</x:v>
      </x:c>
      <x:c r="E35" s="28" t="n">
        <x:f>COUNTIFS(Datasets!$A$5:$A$111,A35,Datasets!$B$5:$B$111,B35,Datasets!$E$5:$E$111,"&lt;&gt;D")</x:f>
        <x:v>0</x:v>
      </x:c>
      <x:c r="F35" s="28" t="str">
        <x:v>https://opendata.barrie.ca/</x:v>
      </x:c>
      <x:c r="G35" s="28" t="str">
        <x:v>ArcGIS Hub</x:v>
      </x:c>
      <x:c r="H35" s="28" t="str">
        <x:v>Parks and recreation; Transportation</x:v>
      </x:c>
      <x:c r="I35" s="28" t="str">
        <x:v>Official catalogue located</x:v>
      </x:c>
      <x:c r="J35" s="28" t="str"/>
      <x:c r="K35" s="28" t="str">
        <x:v>CA_STATCAN_98100002</x:v>
      </x:c>
      <x:c r="L35" s="28" t="str">
        <x:v>https://www150.statcan.gc.ca/n1/tbl/csv/98100002-eng.zip</x:v>
      </x:c>
      <x:c r="M35" s="28" t="str">
        <x:v>https://www150.statcan.gc.ca/n1/pub/21-26-0002/2021001/meta-eng.htm</x:v>
      </x:c>
      <x:c r="N35" s="28" t="str">
        <x:v>2026-10-07</x:v>
      </x:c>
    </x:row>
    <x:row r="36" ht="86" customHeight="1">
      <x:c r="A36" s="28" t="str">
        <x:v>Brampton</x:v>
      </x:c>
      <x:c r="B36" s="28" t="str">
        <x:v>ON</x:v>
      </x:c>
      <x:c r="C36" s="28" t="str">
        <x:v>Specific dataset lead(s); export verification required</x:v>
      </x:c>
      <x:c r="D36" s="28" t="n">
        <x:f>COUNTIFS(Datasets!$A$5:$A$111,A36,Datasets!$B$5:$B$111,B36)</x:f>
        <x:v>3</x:v>
      </x:c>
      <x:c r="E36" s="28" t="n">
        <x:f>COUNTIFS(Datasets!$A$5:$A$111,A36,Datasets!$B$5:$B$111,B36,Datasets!$E$5:$E$111,"&lt;&gt;D")</x:f>
        <x:v>0</x:v>
      </x:c>
      <x:c r="F36" s="28" t="str">
        <x:v>https://geohub.brampton.ca/</x:v>
      </x:c>
      <x:c r="G36" s="28" t="str">
        <x:v>ArcGIS Hub</x:v>
      </x:c>
      <x:c r="H36" s="28" t="str">
        <x:v>Parks and recreation; Public facilities; Transportation</x:v>
      </x:c>
      <x:c r="I36" s="28" t="str">
        <x:v>Official catalogue located</x:v>
      </x:c>
      <x:c r="J36" s="28" t="str"/>
      <x:c r="K36" s="28" t="str">
        <x:v>CA_STATCAN_98100002</x:v>
      </x:c>
      <x:c r="L36" s="28" t="str">
        <x:v>https://www150.statcan.gc.ca/n1/tbl/csv/98100002-eng.zip</x:v>
      </x:c>
      <x:c r="M36" s="28" t="str">
        <x:v>https://geohub.brampton.ca/</x:v>
      </x:c>
      <x:c r="N36" s="28" t="str">
        <x:v>2026-10-07</x:v>
      </x:c>
    </x:row>
    <x:row r="37" ht="86" customHeight="1">
      <x:c r="A37" s="28" t="str">
        <x:v>Brantford</x:v>
      </x:c>
      <x:c r="B37" s="28" t="str">
        <x:v>ON</x:v>
      </x:c>
      <x:c r="C37" s="28" t="str">
        <x:v>Specific dataset lead(s); export verification required</x:v>
      </x:c>
      <x:c r="D37" s="28" t="n">
        <x:f>COUNTIFS(Datasets!$A$5:$A$111,A37,Datasets!$B$5:$B$111,B37)</x:f>
        <x:v>2</x:v>
      </x:c>
      <x:c r="E37" s="28" t="n">
        <x:f>COUNTIFS(Datasets!$A$5:$A$111,A37,Datasets!$B$5:$B$111,B37,Datasets!$E$5:$E$111,"&lt;&gt;D")</x:f>
        <x:v>0</x:v>
      </x:c>
      <x:c r="F37" s="28" t="str">
        <x:v>https://data-brantford.opendata.arcgis.com/</x:v>
      </x:c>
      <x:c r="G37" s="28" t="str">
        <x:v>ArcGIS Hub</x:v>
      </x:c>
      <x:c r="H37" s="28" t="str">
        <x:v>Parks and recreation; Transportation</x:v>
      </x:c>
      <x:c r="I37" s="28" t="str">
        <x:v>Official catalogue located</x:v>
      </x:c>
      <x:c r="J37" s="28" t="str"/>
      <x:c r="K37" s="28" t="str">
        <x:v>CA_STATCAN_98100002</x:v>
      </x:c>
      <x:c r="L37" s="28" t="str">
        <x:v>https://www150.statcan.gc.ca/n1/tbl/csv/98100002-eng.zip</x:v>
      </x:c>
      <x:c r="M37" s="28" t="str">
        <x:v>https://www150.statcan.gc.ca/n1/pub/21-26-0002/2021001/meta-eng.htm</x:v>
      </x:c>
      <x:c r="N37" s="28" t="str">
        <x:v>2026-10-07</x:v>
      </x:c>
    </x:row>
    <x:row r="38" ht="86" customHeight="1">
      <x:c r="A38" s="28" t="str">
        <x:v>Burlington</x:v>
      </x:c>
      <x:c r="B38" s="28" t="str">
        <x:v>ON</x:v>
      </x:c>
      <x:c r="C38" s="28" t="str">
        <x:v>Specific dataset lead(s); export verification required</x:v>
      </x:c>
      <x:c r="D38" s="28" t="n">
        <x:f>COUNTIFS(Datasets!$A$5:$A$111,A38,Datasets!$B$5:$B$111,B38)</x:f>
        <x:v>1</x:v>
      </x:c>
      <x:c r="E38" s="28" t="n">
        <x:f>COUNTIFS(Datasets!$A$5:$A$111,A38,Datasets!$B$5:$B$111,B38,Datasets!$E$5:$E$111,"&lt;&gt;D")</x:f>
        <x:v>0</x:v>
      </x:c>
      <x:c r="F38" s="28" t="str">
        <x:v>https://navburl-burlington.opendata.arcgis.com/</x:v>
      </x:c>
      <x:c r="G38" s="28" t="str">
        <x:v>ArcGIS Hub</x:v>
      </x:c>
      <x:c r="H38" s="28" t="str">
        <x:v>Public facilities</x:v>
      </x:c>
      <x:c r="I38" s="28" t="str">
        <x:v>Official catalogue located</x:v>
      </x:c>
      <x:c r="J38" s="28" t="str"/>
      <x:c r="K38" s="28" t="str">
        <x:v>CA_STATCAN_98100002</x:v>
      </x:c>
      <x:c r="L38" s="28" t="str">
        <x:v>https://www150.statcan.gc.ca/n1/tbl/csv/98100002-eng.zip</x:v>
      </x:c>
      <x:c r="M38" s="28" t="str">
        <x:v>https://www150.statcan.gc.ca/n1/pub/21-26-0002/2021001/meta-eng.htm</x:v>
      </x:c>
      <x:c r="N38" s="28" t="str">
        <x:v>2026-10-07</x:v>
      </x:c>
    </x:row>
    <x:row r="39" ht="86" customHeight="1">
      <x:c r="A39" s="28" t="str">
        <x:v>Cambridge</x:v>
      </x:c>
      <x:c r="B39" s="28" t="str">
        <x:v>ON</x:v>
      </x:c>
      <x:c r="C39" s="28" t="str">
        <x:v>Specific dataset(s) with documented format / derived endpoint</x:v>
      </x:c>
      <x:c r="D39" s="28" t="n">
        <x:f>COUNTIFS(Datasets!$A$5:$A$111,A39,Datasets!$B$5:$B$111,B39)</x:f>
        <x:v>1</x:v>
      </x:c>
      <x:c r="E39" s="28" t="n">
        <x:f>COUNTIFS(Datasets!$A$5:$A$111,A39,Datasets!$B$5:$B$111,B39,Datasets!$E$5:$E$111,"&lt;&gt;D")</x:f>
        <x:v>1</x:v>
      </x:c>
      <x:c r="F39" s="28" t="str">
        <x:v>https://geohub.cambridge.ca/</x:v>
      </x:c>
      <x:c r="G39" s="28" t="str">
        <x:v>ArcGIS Hub</x:v>
      </x:c>
      <x:c r="H39" s="28" t="str">
        <x:v>Transit</x:v>
      </x:c>
      <x:c r="I39" s="28" t="str">
        <x:v>Official catalogue located</x:v>
      </x:c>
      <x:c r="J39" s="28" t="str">
        <x:v>Cambridge, Ontario, not Cambridge, Massachusetts.</x:v>
      </x:c>
      <x:c r="K39" s="28" t="str">
        <x:v>CA_STATCAN_98100002</x:v>
      </x:c>
      <x:c r="L39" s="28" t="str">
        <x:v>https://www150.statcan.gc.ca/n1/tbl/csv/98100002-eng.zip</x:v>
      </x:c>
      <x:c r="M39" s="28" t="str">
        <x:v>https://geohub.cambridge.ca/</x:v>
      </x:c>
      <x:c r="N39" s="28" t="str">
        <x:v>2026-10-07</x:v>
      </x:c>
    </x:row>
    <x:row r="40" ht="86" customHeight="1">
      <x:c r="A40" s="28" t="str">
        <x:v>Chatham-Kent</x:v>
      </x:c>
      <x:c r="B40" s="28" t="str">
        <x:v>ON</x:v>
      </x:c>
      <x:c r="C40" s="28" t="str">
        <x:v>No local dataset selected; national CSV fallback</x:v>
      </x:c>
      <x:c r="D40" s="28" t="n">
        <x:f>COUNTIFS(Datasets!$A$5:$A$111,A40,Datasets!$B$5:$B$111,B40)</x:f>
        <x:v>0</x:v>
      </x:c>
      <x:c r="E40" s="28" t="n">
        <x:f>COUNTIFS(Datasets!$A$5:$A$111,A40,Datasets!$B$5:$B$111,B40,Datasets!$E$5:$E$111,"&lt;&gt;D")</x:f>
        <x:v>0</x:v>
      </x:c>
      <x:c r="F40" s="28" t="str">
        <x:v>https://www150.statcan.gc.ca/t1/tbl1/en/tv.action?pid=9810000201</x:v>
      </x:c>
      <x:c r="G40" s="28" t="str">
        <x:v>Statistics Canada fallback</x:v>
      </x:c>
      <x:c r="H40" s="28" t="str"/>
      <x:c r="I40" s="28" t="str">
        <x:v>Source index; local dataset selection pending</x:v>
      </x:c>
      <x:c r="J40" s="28" t="str">
        <x:v>National CSV fallback only; municipal portal not verified.</x:v>
      </x:c>
      <x:c r="K40" s="28" t="str">
        <x:v>CA_STATCAN_98100002</x:v>
      </x:c>
      <x:c r="L40" s="28" t="str">
        <x:v>https://www150.statcan.gc.ca/n1/tbl/csv/98100002-eng.zip</x:v>
      </x:c>
      <x:c r="M40" s="28" t="str">
        <x:v>https://www150.statcan.gc.ca/t1/tbl1/en/tv.action?pid=9810000201</x:v>
      </x:c>
      <x:c r="N40" s="28" t="str">
        <x:v>2026-10-07</x:v>
      </x:c>
    </x:row>
    <x:row r="41" ht="86" customHeight="1">
      <x:c r="A41" s="28" t="str">
        <x:v>Greater Sudbury</x:v>
      </x:c>
      <x:c r="B41" s="28" t="str">
        <x:v>ON</x:v>
      </x:c>
      <x:c r="C41" s="28" t="str">
        <x:v>No local dataset selected; national CSV fallback</x:v>
      </x:c>
      <x:c r="D41" s="28" t="n">
        <x:f>COUNTIFS(Datasets!$A$5:$A$111,A41,Datasets!$B$5:$B$111,B41)</x:f>
        <x:v>0</x:v>
      </x:c>
      <x:c r="E41" s="28" t="n">
        <x:f>COUNTIFS(Datasets!$A$5:$A$111,A41,Datasets!$B$5:$B$111,B41,Datasets!$E$5:$E$111,"&lt;&gt;D")</x:f>
        <x:v>0</x:v>
      </x:c>
      <x:c r="F41" s="28" t="str">
        <x:v>https://opendata.greatersudbury.ca/</x:v>
      </x:c>
      <x:c r="G41" s="28" t="str">
        <x:v>ArcGIS Hub</x:v>
      </x:c>
      <x:c r="H41" s="28" t="str"/>
      <x:c r="I41" s="28" t="str">
        <x:v>Official catalogue located</x:v>
      </x:c>
      <x:c r="J41" s="28" t="str">
        <x:v>Separate download/API site: https://dataportal.greatersudbury.ca/</x:v>
      </x:c>
      <x:c r="K41" s="28" t="str">
        <x:v>CA_STATCAN_98100002</x:v>
      </x:c>
      <x:c r="L41" s="28" t="str">
        <x:v>https://www150.statcan.gc.ca/n1/tbl/csv/98100002-eng.zip</x:v>
      </x:c>
      <x:c r="M41" s="28" t="str">
        <x:v>https://opendata.greatersudbury.ca/</x:v>
      </x:c>
      <x:c r="N41" s="28" t="str">
        <x:v>2026-10-07</x:v>
      </x:c>
    </x:row>
    <x:row r="42" ht="86" customHeight="1">
      <x:c r="A42" s="28" t="str">
        <x:v>Guelph</x:v>
      </x:c>
      <x:c r="B42" s="28" t="str">
        <x:v>ON</x:v>
      </x:c>
      <x:c r="C42" s="28" t="str">
        <x:v>Specific dataset lead(s); export verification required</x:v>
      </x:c>
      <x:c r="D42" s="28" t="n">
        <x:f>COUNTIFS(Datasets!$A$5:$A$111,A42,Datasets!$B$5:$B$111,B42)</x:f>
        <x:v>2</x:v>
      </x:c>
      <x:c r="E42" s="28" t="n">
        <x:f>COUNTIFS(Datasets!$A$5:$A$111,A42,Datasets!$B$5:$B$111,B42,Datasets!$E$5:$E$111,"&lt;&gt;D")</x:f>
        <x:v>0</x:v>
      </x:c>
      <x:c r="F42" s="28" t="str">
        <x:v>https://geodatahub-cityofguelph.opendata.arcgis.com/</x:v>
      </x:c>
      <x:c r="G42" s="28" t="str">
        <x:v>ArcGIS Hub</x:v>
      </x:c>
      <x:c r="H42" s="28" t="str">
        <x:v>Parks and recreation</x:v>
      </x:c>
      <x:c r="I42" s="28" t="str">
        <x:v>Official catalogue located</x:v>
      </x:c>
      <x:c r="J42" s="28" t="str"/>
      <x:c r="K42" s="28" t="str">
        <x:v>CA_STATCAN_98100002</x:v>
      </x:c>
      <x:c r="L42" s="28" t="str">
        <x:v>https://www150.statcan.gc.ca/n1/tbl/csv/98100002-eng.zip</x:v>
      </x:c>
      <x:c r="M42" s="28" t="str">
        <x:v>https://geodatahub-cityofguelph.opendata.arcgis.com/</x:v>
      </x:c>
      <x:c r="N42" s="28" t="str">
        <x:v>2026-10-07</x:v>
      </x:c>
    </x:row>
    <x:row r="43" ht="86" customHeight="1">
      <x:c r="A43" s="28" t="str">
        <x:v>Hamilton</x:v>
      </x:c>
      <x:c r="B43" s="28" t="str">
        <x:v>ON</x:v>
      </x:c>
      <x:c r="C43" s="28" t="str">
        <x:v>Specific dataset lead(s); export verification required</x:v>
      </x:c>
      <x:c r="D43" s="28" t="n">
        <x:f>COUNTIFS(Datasets!$A$5:$A$111,A43,Datasets!$B$5:$B$111,B43)</x:f>
        <x:v>3</x:v>
      </x:c>
      <x:c r="E43" s="28" t="n">
        <x:f>COUNTIFS(Datasets!$A$5:$A$111,A43,Datasets!$B$5:$B$111,B43,Datasets!$E$5:$E$111,"&lt;&gt;D")</x:f>
        <x:v>0</x:v>
      </x:c>
      <x:c r="F43" s="28" t="str">
        <x:v>https://open.hamilton.ca/</x:v>
      </x:c>
      <x:c r="G43" s="28" t="str">
        <x:v>ArcGIS Hub</x:v>
      </x:c>
      <x:c r="H43" s="28" t="str">
        <x:v>Addresses; Buildings; Public facilities</x:v>
      </x:c>
      <x:c r="I43" s="28" t="str">
        <x:v>Official catalogue located</x:v>
      </x:c>
      <x:c r="J43" s="28" t="str"/>
      <x:c r="K43" s="28" t="str">
        <x:v>CA_STATCAN_98100002</x:v>
      </x:c>
      <x:c r="L43" s="28" t="str">
        <x:v>https://www150.statcan.gc.ca/n1/tbl/csv/98100002-eng.zip</x:v>
      </x:c>
      <x:c r="M43" s="28" t="str">
        <x:v>https://www150.statcan.gc.ca/n1/pub/34-26-0001/2018001/metadata-eng.htm</x:v>
      </x:c>
      <x:c r="N43" s="28" t="str">
        <x:v>2026-10-07</x:v>
      </x:c>
    </x:row>
    <x:row r="44" ht="86" customHeight="1">
      <x:c r="A44" s="28" t="str">
        <x:v>Kingston</x:v>
      </x:c>
      <x:c r="B44" s="28" t="str">
        <x:v>ON</x:v>
      </x:c>
      <x:c r="C44" s="28" t="str">
        <x:v>Specific dataset lead(s); export verification required</x:v>
      </x:c>
      <x:c r="D44" s="28" t="n">
        <x:f>COUNTIFS(Datasets!$A$5:$A$111,A44,Datasets!$B$5:$B$111,B44)</x:f>
        <x:v>3</x:v>
      </x:c>
      <x:c r="E44" s="28" t="n">
        <x:f>COUNTIFS(Datasets!$A$5:$A$111,A44,Datasets!$B$5:$B$111,B44,Datasets!$E$5:$E$111,"&lt;&gt;D")</x:f>
        <x:v>0</x:v>
      </x:c>
      <x:c r="F44" s="28" t="str">
        <x:v>https://opendatakingston.cityofkingston.ca/</x:v>
      </x:c>
      <x:c r="G44" s="28" t="str">
        <x:v>ArcGIS Hub</x:v>
      </x:c>
      <x:c r="H44" s="28" t="str">
        <x:v>Addresses; Buildings; Public facilities</x:v>
      </x:c>
      <x:c r="I44" s="28" t="str">
        <x:v>Official catalogue located</x:v>
      </x:c>
      <x:c r="J44" s="28" t="str"/>
      <x:c r="K44" s="28" t="str">
        <x:v>CA_STATCAN_98100002</x:v>
      </x:c>
      <x:c r="L44" s="28" t="str">
        <x:v>https://www150.statcan.gc.ca/n1/tbl/csv/98100002-eng.zip</x:v>
      </x:c>
      <x:c r="M44" s="28" t="str">
        <x:v>https://www150.statcan.gc.ca/n1/pub/34-26-0001/2018001/metadata-eng.htm</x:v>
      </x:c>
      <x:c r="N44" s="28" t="str">
        <x:v>2026-10-07</x:v>
      </x:c>
    </x:row>
    <x:row r="45" ht="86" customHeight="1">
      <x:c r="A45" s="28" t="str">
        <x:v>Kitchener</x:v>
      </x:c>
      <x:c r="B45" s="28" t="str">
        <x:v>ON</x:v>
      </x:c>
      <x:c r="C45" s="28" t="str">
        <x:v>Specific dataset(s) with documented format / derived endpoint</x:v>
      </x:c>
      <x:c r="D45" s="28" t="n">
        <x:f>COUNTIFS(Datasets!$A$5:$A$111,A45,Datasets!$B$5:$B$111,B45)</x:f>
        <x:v>4</x:v>
      </x:c>
      <x:c r="E45" s="28" t="n">
        <x:f>COUNTIFS(Datasets!$A$5:$A$111,A45,Datasets!$B$5:$B$111,B45,Datasets!$E$5:$E$111,"&lt;&gt;D")</x:f>
        <x:v>1</x:v>
      </x:c>
      <x:c r="F45" s="28" t="str">
        <x:v>https://open-kitchenergis.opendata.arcgis.com/</x:v>
      </x:c>
      <x:c r="G45" s="28" t="str">
        <x:v>ArcGIS Hub</x:v>
      </x:c>
      <x:c r="H45" s="28" t="str">
        <x:v>Parks and recreation; Public facilities; Transit; Transportation</x:v>
      </x:c>
      <x:c r="I45" s="28" t="str">
        <x:v>Official catalogue located</x:v>
      </x:c>
      <x:c r="J45" s="28" t="str"/>
      <x:c r="K45" s="28" t="str">
        <x:v>CA_STATCAN_98100002</x:v>
      </x:c>
      <x:c r="L45" s="28" t="str">
        <x:v>https://www150.statcan.gc.ca/n1/tbl/csv/98100002-eng.zip</x:v>
      </x:c>
      <x:c r="M45" s="28" t="str">
        <x:v>https://www150.statcan.gc.ca/n1/pub/21-26-0002/2021001/meta-eng.htm</x:v>
      </x:c>
      <x:c r="N45" s="28" t="str">
        <x:v>2026-10-07</x:v>
      </x:c>
    </x:row>
    <x:row r="46" ht="86" customHeight="1">
      <x:c r="A46" s="28" t="str">
        <x:v>London</x:v>
      </x:c>
      <x:c r="B46" s="28" t="str">
        <x:v>ON</x:v>
      </x:c>
      <x:c r="C46" s="28" t="str">
        <x:v>Specific dataset lead(s); export verification required</x:v>
      </x:c>
      <x:c r="D46" s="28" t="n">
        <x:f>COUNTIFS(Datasets!$A$5:$A$111,A46,Datasets!$B$5:$B$111,B46)</x:f>
        <x:v>2</x:v>
      </x:c>
      <x:c r="E46" s="28" t="n">
        <x:f>COUNTIFS(Datasets!$A$5:$A$111,A46,Datasets!$B$5:$B$111,B46,Datasets!$E$5:$E$111,"&lt;&gt;D")</x:f>
        <x:v>0</x:v>
      </x:c>
      <x:c r="F46" s="28" t="str">
        <x:v>https://opendata.london.ca/</x:v>
      </x:c>
      <x:c r="G46" s="28" t="str">
        <x:v>ArcGIS Hub</x:v>
      </x:c>
      <x:c r="H46" s="28" t="str">
        <x:v>Parks and recreation</x:v>
      </x:c>
      <x:c r="I46" s="28" t="str">
        <x:v>Official catalogue located</x:v>
      </x:c>
      <x:c r="J46" s="28" t="str"/>
      <x:c r="K46" s="28" t="str">
        <x:v>CA_STATCAN_98100002</x:v>
      </x:c>
      <x:c r="L46" s="28" t="str">
        <x:v>https://www150.statcan.gc.ca/n1/tbl/csv/98100002-eng.zip</x:v>
      </x:c>
      <x:c r="M46" s="28" t="str">
        <x:v>https://www150.statcan.gc.ca/n1/pub/21-26-0002/2021001/meta-eng.htm</x:v>
      </x:c>
      <x:c r="N46" s="28" t="str">
        <x:v>2026-10-07</x:v>
      </x:c>
    </x:row>
    <x:row r="47" ht="86" customHeight="1">
      <x:c r="A47" s="28" t="str">
        <x:v>Markham</x:v>
      </x:c>
      <x:c r="B47" s="28" t="str">
        <x:v>ON</x:v>
      </x:c>
      <x:c r="C47" s="28" t="str">
        <x:v>Specific dataset lead(s); export verification required</x:v>
      </x:c>
      <x:c r="D47" s="28" t="n">
        <x:f>COUNTIFS(Datasets!$A$5:$A$111,A47,Datasets!$B$5:$B$111,B47)</x:f>
        <x:v>1</x:v>
      </x:c>
      <x:c r="E47" s="28" t="n">
        <x:f>COUNTIFS(Datasets!$A$5:$A$111,A47,Datasets!$B$5:$B$111,B47,Datasets!$E$5:$E$111,"&lt;&gt;D")</x:f>
        <x:v>0</x:v>
      </x:c>
      <x:c r="F47" s="28" t="str">
        <x:v>https://data-markham.opendata.arcgis.com/</x:v>
      </x:c>
      <x:c r="G47" s="28" t="str">
        <x:v>ArcGIS Hub</x:v>
      </x:c>
      <x:c r="H47" s="28" t="str">
        <x:v>Boundaries</x:v>
      </x:c>
      <x:c r="I47" s="28" t="str">
        <x:v>Official catalogue located</x:v>
      </x:c>
      <x:c r="J47" s="28" t="str">
        <x:v>Some hosted datasets are published by York Region, not Markham.</x:v>
      </x:c>
      <x:c r="K47" s="28" t="str">
        <x:v>CA_STATCAN_98100002</x:v>
      </x:c>
      <x:c r="L47" s="28" t="str">
        <x:v>https://www150.statcan.gc.ca/n1/tbl/csv/98100002-eng.zip</x:v>
      </x:c>
      <x:c r="M47" s="28" t="str">
        <x:v>https://data-markham.opendata.arcgis.com/</x:v>
      </x:c>
      <x:c r="N47" s="28" t="str">
        <x:v>2026-10-07</x:v>
      </x:c>
    </x:row>
    <x:row r="48" ht="86" customHeight="1">
      <x:c r="A48" s="28" t="str">
        <x:v>Milton</x:v>
      </x:c>
      <x:c r="B48" s="28" t="str">
        <x:v>ON</x:v>
      </x:c>
      <x:c r="C48" s="28" t="str">
        <x:v>Specific dataset lead(s); export verification required</x:v>
      </x:c>
      <x:c r="D48" s="28" t="n">
        <x:f>COUNTIFS(Datasets!$A$5:$A$111,A48,Datasets!$B$5:$B$111,B48)</x:f>
        <x:v>2</x:v>
      </x:c>
      <x:c r="E48" s="28" t="n">
        <x:f>COUNTIFS(Datasets!$A$5:$A$111,A48,Datasets!$B$5:$B$111,B48,Datasets!$E$5:$E$111,"&lt;&gt;D")</x:f>
        <x:v>0</x:v>
      </x:c>
      <x:c r="F48" s="28" t="str">
        <x:v>https://discover-milton.hub.arcgis.com</x:v>
      </x:c>
      <x:c r="G48" s="28" t="str">
        <x:v>ArcGIS Hub</x:v>
      </x:c>
      <x:c r="H48" s="28" t="str">
        <x:v>Facilities; Parks</x:v>
      </x:c>
      <x:c r="I48" s="28" t="str">
        <x:v>Official catalogue located</x:v>
      </x:c>
      <x:c r="J48" s="28" t="str"/>
      <x:c r="K48" s="28" t="str">
        <x:v>CA_STATCAN_98100002</x:v>
      </x:c>
      <x:c r="L48" s="28" t="str">
        <x:v>https://www150.statcan.gc.ca/n1/tbl/csv/98100002-eng.zip</x:v>
      </x:c>
      <x:c r="M48" s="28" t="str">
        <x:v>https://discover-milton.hub.arcgis.com</x:v>
      </x:c>
      <x:c r="N48" s="28" t="str">
        <x:v>2026-10-07</x:v>
      </x:c>
    </x:row>
    <x:row r="49" ht="86" customHeight="1">
      <x:c r="A49" s="28" t="str">
        <x:v>Mississauga</x:v>
      </x:c>
      <x:c r="B49" s="28" t="str">
        <x:v>ON</x:v>
      </x:c>
      <x:c r="C49" s="28" t="str">
        <x:v>Specific dataset lead(s); export verification required</x:v>
      </x:c>
      <x:c r="D49" s="28" t="n">
        <x:f>COUNTIFS(Datasets!$A$5:$A$111,A49,Datasets!$B$5:$B$111,B49)</x:f>
        <x:v>1</x:v>
      </x:c>
      <x:c r="E49" s="28" t="n">
        <x:f>COUNTIFS(Datasets!$A$5:$A$111,A49,Datasets!$B$5:$B$111,B49,Datasets!$E$5:$E$111,"&lt;&gt;D")</x:f>
        <x:v>0</x:v>
      </x:c>
      <x:c r="F49" s="28" t="str">
        <x:v>https://data.mississauga.ca/</x:v>
      </x:c>
      <x:c r="G49" s="28" t="str">
        <x:v>ArcGIS Hub</x:v>
      </x:c>
      <x:c r="H49" s="28" t="str">
        <x:v>Parks</x:v>
      </x:c>
      <x:c r="I49" s="28" t="str">
        <x:v>Official catalogue located</x:v>
      </x:c>
      <x:c r="J49" s="28" t="str"/>
      <x:c r="K49" s="28" t="str">
        <x:v>CA_STATCAN_98100002</x:v>
      </x:c>
      <x:c r="L49" s="28" t="str">
        <x:v>https://www150.statcan.gc.ca/n1/tbl/csv/98100002-eng.zip</x:v>
      </x:c>
      <x:c r="M49" s="28" t="str">
        <x:v>https://data.mississauga.ca/</x:v>
      </x:c>
      <x:c r="N49" s="28" t="str">
        <x:v>2026-10-07</x:v>
      </x:c>
    </x:row>
    <x:row r="50" ht="86" customHeight="1">
      <x:c r="A50" s="28" t="str">
        <x:v>Oakville</x:v>
      </x:c>
      <x:c r="B50" s="28" t="str">
        <x:v>ON</x:v>
      </x:c>
      <x:c r="C50" s="28" t="str">
        <x:v>No local dataset selected; national CSV fallback</x:v>
      </x:c>
      <x:c r="D50" s="28" t="n">
        <x:f>COUNTIFS(Datasets!$A$5:$A$111,A50,Datasets!$B$5:$B$111,B50)</x:f>
        <x:v>0</x:v>
      </x:c>
      <x:c r="E50" s="28" t="n">
        <x:f>COUNTIFS(Datasets!$A$5:$A$111,A50,Datasets!$B$5:$B$111,B50,Datasets!$E$5:$E$111,"&lt;&gt;D")</x:f>
        <x:v>0</x:v>
      </x:c>
      <x:c r="F50" s="28" t="str">
        <x:v>https://portal-exploreoakville.opendata.arcgis.com/</x:v>
      </x:c>
      <x:c r="G50" s="28" t="str">
        <x:v>ArcGIS Hub</x:v>
      </x:c>
      <x:c r="H50" s="28" t="str"/>
      <x:c r="I50" s="28" t="str">
        <x:v>Official catalogue located</x:v>
      </x:c>
      <x:c r="J50" s="28" t="str"/>
      <x:c r="K50" s="28" t="str">
        <x:v>CA_STATCAN_98100002</x:v>
      </x:c>
      <x:c r="L50" s="28" t="str">
        <x:v>https://www150.statcan.gc.ca/n1/tbl/csv/98100002-eng.zip</x:v>
      </x:c>
      <x:c r="M50" s="28" t="str">
        <x:v>https://portal-exploreoakville.opendata.arcgis.com/</x:v>
      </x:c>
      <x:c r="N50" s="28" t="str">
        <x:v>2026-10-07</x:v>
      </x:c>
    </x:row>
    <x:row r="51" ht="86" customHeight="1">
      <x:c r="A51" s="28" t="str">
        <x:v>Oshawa</x:v>
      </x:c>
      <x:c r="B51" s="28" t="str">
        <x:v>ON</x:v>
      </x:c>
      <x:c r="C51" s="28" t="str">
        <x:v>Specific dataset(s) with documented format / derived endpoint</x:v>
      </x:c>
      <x:c r="D51" s="28" t="n">
        <x:f>COUNTIFS(Datasets!$A$5:$A$111,A51,Datasets!$B$5:$B$111,B51)</x:f>
        <x:v>4</x:v>
      </x:c>
      <x:c r="E51" s="28" t="n">
        <x:f>COUNTIFS(Datasets!$A$5:$A$111,A51,Datasets!$B$5:$B$111,B51,Datasets!$E$5:$E$111,"&lt;&gt;D")</x:f>
        <x:v>4</x:v>
      </x:c>
      <x:c r="F51" s="28" t="str">
        <x:v>https://city-oshawa.opendata.arcgis.com/</x:v>
      </x:c>
      <x:c r="G51" s="28" t="str">
        <x:v>ArcGIS Hub</x:v>
      </x:c>
      <x:c r="H51" s="28" t="str">
        <x:v>Addresses and property; Buildings; Transport</x:v>
      </x:c>
      <x:c r="I51" s="28" t="str">
        <x:v>Official catalogue located</x:v>
      </x:c>
      <x:c r="J51" s="28" t="str"/>
      <x:c r="K51" s="28" t="str">
        <x:v>CA_STATCAN_98100002</x:v>
      </x:c>
      <x:c r="L51" s="28" t="str">
        <x:v>https://www150.statcan.gc.ca/n1/tbl/csv/98100002-eng.zip</x:v>
      </x:c>
      <x:c r="M51" s="28" t="str">
        <x:v>https://city-oshawa.opendata.arcgis.com/</x:v>
      </x:c>
      <x:c r="N51" s="28" t="str">
        <x:v>2026-10-07</x:v>
      </x:c>
    </x:row>
    <x:row r="52" ht="86" customHeight="1">
      <x:c r="A52" s="28" t="str">
        <x:v>Ottawa</x:v>
      </x:c>
      <x:c r="B52" s="28" t="str">
        <x:v>ON</x:v>
      </x:c>
      <x:c r="C52" s="28" t="str">
        <x:v>Specific dataset lead(s); export verification required</x:v>
      </x:c>
      <x:c r="D52" s="28" t="n">
        <x:f>COUNTIFS(Datasets!$A$5:$A$111,A52,Datasets!$B$5:$B$111,B52)</x:f>
        <x:v>4</x:v>
      </x:c>
      <x:c r="E52" s="28" t="n">
        <x:f>COUNTIFS(Datasets!$A$5:$A$111,A52,Datasets!$B$5:$B$111,B52,Datasets!$E$5:$E$111,"&lt;&gt;D")</x:f>
        <x:v>0</x:v>
      </x:c>
      <x:c r="F52" s="28" t="str">
        <x:v>https://open.ottawa.ca/</x:v>
      </x:c>
      <x:c r="G52" s="28" t="str">
        <x:v>ArcGIS Hub</x:v>
      </x:c>
      <x:c r="H52" s="28" t="str">
        <x:v>Demographics; Parks and recreation</x:v>
      </x:c>
      <x:c r="I52" s="28" t="str">
        <x:v>Official catalogue located</x:v>
      </x:c>
      <x:c r="J52" s="28" t="str"/>
      <x:c r="K52" s="28" t="str">
        <x:v>CA_STATCAN_98100002</x:v>
      </x:c>
      <x:c r="L52" s="28" t="str">
        <x:v>https://www150.statcan.gc.ca/n1/tbl/csv/98100002-eng.zip</x:v>
      </x:c>
      <x:c r="M52" s="28" t="str">
        <x:v>https://open.ottawa.ca/</x:v>
      </x:c>
      <x:c r="N52" s="28" t="str">
        <x:v>2026-10-07</x:v>
      </x:c>
    </x:row>
    <x:row r="53" ht="86" customHeight="1">
      <x:c r="A53" s="28" t="str">
        <x:v>Richmond Hill</x:v>
      </x:c>
      <x:c r="B53" s="28" t="str">
        <x:v>ON</x:v>
      </x:c>
      <x:c r="C53" s="28" t="str">
        <x:v>Specific dataset lead(s); export verification required</x:v>
      </x:c>
      <x:c r="D53" s="28" t="n">
        <x:f>COUNTIFS(Datasets!$A$5:$A$111,A53,Datasets!$B$5:$B$111,B53)</x:f>
        <x:v>1</x:v>
      </x:c>
      <x:c r="E53" s="28" t="n">
        <x:f>COUNTIFS(Datasets!$A$5:$A$111,A53,Datasets!$B$5:$B$111,B53,Datasets!$E$5:$E$111,"&lt;&gt;D")</x:f>
        <x:v>0</x:v>
      </x:c>
      <x:c r="F53" s="28" t="str">
        <x:v>https://insights-york.opendata.arcgis.com/</x:v>
      </x:c>
      <x:c r="G53" s="28" t="str">
        <x:v>Regional ArcGIS Hub</x:v>
      </x:c>
      <x:c r="H53" s="28" t="str">
        <x:v>Boundaries</x:v>
      </x:c>
      <x:c r="I53" s="28" t="str">
        <x:v>Source index; local dataset selection pending</x:v>
      </x:c>
      <x:c r="J53" s="28" t="str">
        <x:v>York Region fallback. Regional geography must be filtered; municipal catalogue not independently verified.</x:v>
      </x:c>
      <x:c r="K53" s="28" t="str">
        <x:v>CA_STATCAN_98100002</x:v>
      </x:c>
      <x:c r="L53" s="28" t="str">
        <x:v>https://www150.statcan.gc.ca/n1/tbl/csv/98100002-eng.zip</x:v>
      </x:c>
      <x:c r="M53" s="28" t="str">
        <x:v>https://insights-york.opendata.arcgis.com/</x:v>
      </x:c>
      <x:c r="N53" s="28" t="str">
        <x:v>2026-10-07</x:v>
      </x:c>
    </x:row>
    <x:row r="54" ht="86" customHeight="1">
      <x:c r="A54" s="28" t="str">
        <x:v>St. Catharines</x:v>
      </x:c>
      <x:c r="B54" s="28" t="str">
        <x:v>ON</x:v>
      </x:c>
      <x:c r="C54" s="28" t="str">
        <x:v>No local dataset selected; national CSV fallback</x:v>
      </x:c>
      <x:c r="D54" s="28" t="n">
        <x:f>COUNTIFS(Datasets!$A$5:$A$111,A54,Datasets!$B$5:$B$111,B54)</x:f>
        <x:v>0</x:v>
      </x:c>
      <x:c r="E54" s="28" t="n">
        <x:f>COUNTIFS(Datasets!$A$5:$A$111,A54,Datasets!$B$5:$B$111,B54,Datasets!$E$5:$E$111,"&lt;&gt;D")</x:f>
        <x:v>0</x:v>
      </x:c>
      <x:c r="F54" s="28" t="str">
        <x:v>https://niagaraopendata.ca/</x:v>
      </x:c>
      <x:c r="G54" s="28" t="str">
        <x:v>Regional open data catalogue</x:v>
      </x:c>
      <x:c r="H54" s="28" t="str"/>
      <x:c r="I54" s="28" t="str">
        <x:v>Source index; local dataset selection pending</x:v>
      </x:c>
      <x:c r="J54" s="28" t="str">
        <x:v>Niagara regional source; access was blocked during this review. Local raw-data resources require follow-up.</x:v>
      </x:c>
      <x:c r="K54" s="28" t="str">
        <x:v>CA_STATCAN_98100002</x:v>
      </x:c>
      <x:c r="L54" s="28" t="str">
        <x:v>https://www150.statcan.gc.ca/n1/tbl/csv/98100002-eng.zip</x:v>
      </x:c>
      <x:c r="M54" s="28" t="str">
        <x:v>https://niagaraopendata.ca/</x:v>
      </x:c>
      <x:c r="N54" s="28" t="str">
        <x:v>2026-10-07</x:v>
      </x:c>
    </x:row>
    <x:row r="55" ht="86" customHeight="1">
      <x:c r="A55" s="28" t="str">
        <x:v>Thunder Bay</x:v>
      </x:c>
      <x:c r="B55" s="28" t="str">
        <x:v>ON</x:v>
      </x:c>
      <x:c r="C55" s="28" t="str">
        <x:v>Specific dataset lead(s); export verification required</x:v>
      </x:c>
      <x:c r="D55" s="28" t="n">
        <x:f>COUNTIFS(Datasets!$A$5:$A$111,A55,Datasets!$B$5:$B$111,B55)</x:f>
        <x:v>1</x:v>
      </x:c>
      <x:c r="E55" s="28" t="n">
        <x:f>COUNTIFS(Datasets!$A$5:$A$111,A55,Datasets!$B$5:$B$111,B55,Datasets!$E$5:$E$111,"&lt;&gt;D")</x:f>
        <x:v>0</x:v>
      </x:c>
      <x:c r="F55" s="28" t="str">
        <x:v>https://opendata-thunderbay.hub.arcgis.com/</x:v>
      </x:c>
      <x:c r="G55" s="28" t="str">
        <x:v>ArcGIS Hub</x:v>
      </x:c>
      <x:c r="H55" s="28" t="str">
        <x:v>Buildings</x:v>
      </x:c>
      <x:c r="I55" s="28" t="str">
        <x:v>Official catalogue located</x:v>
      </x:c>
      <x:c r="J55" s="28" t="str"/>
      <x:c r="K55" s="28" t="str">
        <x:v>CA_STATCAN_98100002</x:v>
      </x:c>
      <x:c r="L55" s="28" t="str">
        <x:v>https://www150.statcan.gc.ca/n1/tbl/csv/98100002-eng.zip</x:v>
      </x:c>
      <x:c r="M55" s="28" t="str">
        <x:v>https://www150.statcan.gc.ca/n1/pub/21-26-0002/2021001/meta-eng.htm</x:v>
      </x:c>
      <x:c r="N55" s="28" t="str">
        <x:v>2026-10-07</x:v>
      </x:c>
    </x:row>
    <x:row r="56" ht="86" customHeight="1">
      <x:c r="A56" s="28" t="str">
        <x:v>Toronto</x:v>
      </x:c>
      <x:c r="B56" s="28" t="str">
        <x:v>ON</x:v>
      </x:c>
      <x:c r="C56" s="28" t="str">
        <x:v>Specific dataset lead(s); export verification required</x:v>
      </x:c>
      <x:c r="D56" s="28" t="n">
        <x:f>COUNTIFS(Datasets!$A$5:$A$111,A56,Datasets!$B$5:$B$111,B56)</x:f>
        <x:v>5</x:v>
      </x:c>
      <x:c r="E56" s="28" t="n">
        <x:f>COUNTIFS(Datasets!$A$5:$A$111,A56,Datasets!$B$5:$B$111,B56,Datasets!$E$5:$E$111,"&lt;&gt;D")</x:f>
        <x:v>0</x:v>
      </x:c>
      <x:c r="F56" s="28" t="str">
        <x:v>https://open.toronto.ca/</x:v>
      </x:c>
      <x:c r="G56" s="28" t="str">
        <x:v>CKAN</x:v>
      </x:c>
      <x:c r="H56" s="28" t="str">
        <x:v>Government; Parks and recreation; Public health; Transportation</x:v>
      </x:c>
      <x:c r="I56" s="28" t="str">
        <x:v>Official catalogue located</x:v>
      </x:c>
      <x:c r="J56" s="28" t="str"/>
      <x:c r="K56" s="28" t="str">
        <x:v>CA_STATCAN_98100002</x:v>
      </x:c>
      <x:c r="L56" s="28" t="str">
        <x:v>https://www150.statcan.gc.ca/n1/tbl/csv/98100002-eng.zip</x:v>
      </x:c>
      <x:c r="M56" s="28" t="str">
        <x:v>https://open.toronto.ca/</x:v>
      </x:c>
      <x:c r="N56" s="28" t="str">
        <x:v>2026-10-07</x:v>
      </x:c>
    </x:row>
    <x:row r="57" ht="86" customHeight="1">
      <x:c r="A57" s="28" t="str">
        <x:v>Vaughan</x:v>
      </x:c>
      <x:c r="B57" s="28" t="str">
        <x:v>ON</x:v>
      </x:c>
      <x:c r="C57" s="28" t="str">
        <x:v>Specific dataset lead(s); export verification required</x:v>
      </x:c>
      <x:c r="D57" s="28" t="n">
        <x:f>COUNTIFS(Datasets!$A$5:$A$111,A57,Datasets!$B$5:$B$111,B57)</x:f>
        <x:v>1</x:v>
      </x:c>
      <x:c r="E57" s="28" t="n">
        <x:f>COUNTIFS(Datasets!$A$5:$A$111,A57,Datasets!$B$5:$B$111,B57,Datasets!$E$5:$E$111,"&lt;&gt;D")</x:f>
        <x:v>0</x:v>
      </x:c>
      <x:c r="F57" s="28" t="str">
        <x:v>https://insights-york.opendata.arcgis.com/</x:v>
      </x:c>
      <x:c r="G57" s="28" t="str">
        <x:v>Regional ArcGIS Hub</x:v>
      </x:c>
      <x:c r="H57" s="28" t="str">
        <x:v>Boundaries</x:v>
      </x:c>
      <x:c r="I57" s="28" t="str">
        <x:v>Source index; local dataset selection pending</x:v>
      </x:c>
      <x:c r="J57" s="28" t="str">
        <x:v>York Region fallback. Regional geography must be filtered; municipal catalogue not independently verified.</x:v>
      </x:c>
      <x:c r="K57" s="28" t="str">
        <x:v>CA_STATCAN_98100002</x:v>
      </x:c>
      <x:c r="L57" s="28" t="str">
        <x:v>https://www150.statcan.gc.ca/n1/tbl/csv/98100002-eng.zip</x:v>
      </x:c>
      <x:c r="M57" s="28" t="str">
        <x:v>https://insights-york.opendata.arcgis.com/</x:v>
      </x:c>
      <x:c r="N57" s="28" t="str">
        <x:v>2026-10-07</x:v>
      </x:c>
    </x:row>
    <x:row r="58" ht="86" customHeight="1">
      <x:c r="A58" s="28" t="str">
        <x:v>Waterloo</x:v>
      </x:c>
      <x:c r="B58" s="28" t="str">
        <x:v>ON</x:v>
      </x:c>
      <x:c r="C58" s="28" t="str">
        <x:v>Specific dataset(s) with documented format / derived endpoint</x:v>
      </x:c>
      <x:c r="D58" s="28" t="n">
        <x:f>COUNTIFS(Datasets!$A$5:$A$111,A58,Datasets!$B$5:$B$111,B58)</x:f>
        <x:v>1</x:v>
      </x:c>
      <x:c r="E58" s="28" t="n">
        <x:f>COUNTIFS(Datasets!$A$5:$A$111,A58,Datasets!$B$5:$B$111,B58,Datasets!$E$5:$E$111,"&lt;&gt;D")</x:f>
        <x:v>1</x:v>
      </x:c>
      <x:c r="F58" s="28" t="str">
        <x:v>https://data.waterloo.ca/</x:v>
      </x:c>
      <x:c r="G58" s="28" t="str">
        <x:v>ArcGIS Hub</x:v>
      </x:c>
      <x:c r="H58" s="28" t="str">
        <x:v>Transit</x:v>
      </x:c>
      <x:c r="I58" s="28" t="str">
        <x:v>Official catalogue located</x:v>
      </x:c>
      <x:c r="J58" s="28" t="str">
        <x:v>Portal can include regional and neighbouring-city data; inspect publisher.</x:v>
      </x:c>
      <x:c r="K58" s="28" t="str">
        <x:v>CA_STATCAN_98100002</x:v>
      </x:c>
      <x:c r="L58" s="28" t="str">
        <x:v>https://www150.statcan.gc.ca/n1/tbl/csv/98100002-eng.zip</x:v>
      </x:c>
      <x:c r="M58" s="28" t="str">
        <x:v>https://data.waterloo.ca/</x:v>
      </x:c>
      <x:c r="N58" s="28" t="str">
        <x:v>2026-10-07</x:v>
      </x:c>
    </x:row>
    <x:row r="59" ht="86" customHeight="1">
      <x:c r="A59" s="28" t="str">
        <x:v>Whitby</x:v>
      </x:c>
      <x:c r="B59" s="28" t="str">
        <x:v>ON</x:v>
      </x:c>
      <x:c r="C59" s="28" t="str">
        <x:v>No local dataset selected; national CSV fallback</x:v>
      </x:c>
      <x:c r="D59" s="28" t="n">
        <x:f>COUNTIFS(Datasets!$A$5:$A$111,A59,Datasets!$B$5:$B$111,B59)</x:f>
        <x:v>0</x:v>
      </x:c>
      <x:c r="E59" s="28" t="n">
        <x:f>COUNTIFS(Datasets!$A$5:$A$111,A59,Datasets!$B$5:$B$111,B59,Datasets!$E$5:$E$111,"&lt;&gt;D")</x:f>
        <x:v>0</x:v>
      </x:c>
      <x:c r="F59" s="28" t="str">
        <x:v>https://opendata.durham.ca/</x:v>
      </x:c>
      <x:c r="G59" s="28" t="str">
        <x:v>Regional ArcGIS Hub</x:v>
      </x:c>
      <x:c r="H59" s="28" t="str"/>
      <x:c r="I59" s="28" t="str">
        <x:v>Source index; local dataset selection pending</x:v>
      </x:c>
      <x:c r="J59" s="28" t="str">
        <x:v>Durham regional source; filter by municipal geography.</x:v>
      </x:c>
      <x:c r="K59" s="28" t="str">
        <x:v>CA_STATCAN_98100002</x:v>
      </x:c>
      <x:c r="L59" s="28" t="str">
        <x:v>https://www150.statcan.gc.ca/n1/tbl/csv/98100002-eng.zip</x:v>
      </x:c>
      <x:c r="M59" s="28" t="str">
        <x:v>https://opendata.durham.ca/</x:v>
      </x:c>
      <x:c r="N59" s="28" t="str">
        <x:v>2026-10-07</x:v>
      </x:c>
    </x:row>
    <x:row r="60" ht="86" customHeight="1">
      <x:c r="A60" s="28" t="str">
        <x:v>Windsor</x:v>
      </x:c>
      <x:c r="B60" s="28" t="str">
        <x:v>ON</x:v>
      </x:c>
      <x:c r="C60" s="28" t="str">
        <x:v>No local dataset selected; national CSV fallback</x:v>
      </x:c>
      <x:c r="D60" s="28" t="n">
        <x:f>COUNTIFS(Datasets!$A$5:$A$111,A60,Datasets!$B$5:$B$111,B60)</x:f>
        <x:v>0</x:v>
      </x:c>
      <x:c r="E60" s="28" t="n">
        <x:f>COUNTIFS(Datasets!$A$5:$A$111,A60,Datasets!$B$5:$B$111,B60,Datasets!$E$5:$E$111,"&lt;&gt;D")</x:f>
        <x:v>0</x:v>
      </x:c>
      <x:c r="F60" s="28" t="str">
        <x:v>https://open-data-portal-citywindsor.hub.arcgis.com/</x:v>
      </x:c>
      <x:c r="G60" s="28" t="str">
        <x:v>ArcGIS Hub</x:v>
      </x:c>
      <x:c r="H60" s="28" t="str"/>
      <x:c r="I60" s="28" t="str">
        <x:v>Official catalogue located</x:v>
      </x:c>
      <x:c r="J60" s="28" t="str">
        <x:v>Old opendata.citywindsor.ca catalogue is no longer updated. Use the new ArcGIS Hub portal. A current local export was not selected in this catalogue.</x:v>
      </x:c>
      <x:c r="K60" s="28" t="str">
        <x:v>CA_STATCAN_98100002</x:v>
      </x:c>
      <x:c r="L60" s="28" t="str">
        <x:v>https://www150.statcan.gc.ca/n1/tbl/csv/98100002-eng.zip</x:v>
      </x:c>
      <x:c r="M60" s="28" t="str">
        <x:v>https://open-data-portal-citywindsor.hub.arcgis.com/</x:v>
      </x:c>
      <x:c r="N60" s="28" t="str">
        <x:v>2026-10-07</x:v>
      </x:c>
    </x:row>
    <x:row r="61" ht="86" customHeight="1">
      <x:c r="A61" s="28" t="str">
        <x:v>Charlottetown</x:v>
      </x:c>
      <x:c r="B61" s="28" t="str">
        <x:v>PE</x:v>
      </x:c>
      <x:c r="C61" s="28" t="str">
        <x:v>No local dataset selected; national CSV fallback</x:v>
      </x:c>
      <x:c r="D61" s="28" t="n">
        <x:f>COUNTIFS(Datasets!$A$5:$A$111,A61,Datasets!$B$5:$B$111,B61)</x:f>
        <x:v>0</x:v>
      </x:c>
      <x:c r="E61" s="28" t="n">
        <x:f>COUNTIFS(Datasets!$A$5:$A$111,A61,Datasets!$B$5:$B$111,B61,Datasets!$E$5:$E$111,"&lt;&gt;D")</x:f>
        <x:v>0</x:v>
      </x:c>
      <x:c r="F61" s="28" t="str">
        <x:v>https://www.charlottetown.ca/business___development/invest_here/data_and_information_hub</x:v>
      </x:c>
      <x:c r="G61" s="28" t="str">
        <x:v>Dashboard / provincial fallback</x:v>
      </x:c>
      <x:c r="H61" s="28" t="str"/>
      <x:c r="I61" s="28" t="str">
        <x:v>Dashboard located; raw municipal export unresolved</x:v>
      </x:c>
      <x:c r="J61" s="28" t="str">
        <x:v>Municipal hub located, but raw open export not established. Use PEI open data or national census for consumable data.</x:v>
      </x:c>
      <x:c r="K61" s="28" t="str">
        <x:v>CA_STATCAN_98100002</x:v>
      </x:c>
      <x:c r="L61" s="28" t="str">
        <x:v>https://www150.statcan.gc.ca/n1/tbl/csv/98100002-eng.zip</x:v>
      </x:c>
      <x:c r="M61" s="28" t="str">
        <x:v>https://www.charlottetown.ca/business___development/invest_here/data_and_information_hub</x:v>
      </x:c>
      <x:c r="N61" s="28" t="str">
        <x:v>2026-10-07</x:v>
      </x:c>
    </x:row>
    <x:row r="62" ht="86" customHeight="1">
      <x:c r="A62" s="28" t="str">
        <x:v>Gatineau</x:v>
      </x:c>
      <x:c r="B62" s="28" t="str">
        <x:v>QC</x:v>
      </x:c>
      <x:c r="C62" s="28" t="str">
        <x:v>Specific dataset(s) with documented format / derived endpoint</x:v>
      </x:c>
      <x:c r="D62" s="28" t="n">
        <x:f>COUNTIFS(Datasets!$A$5:$A$111,A62,Datasets!$B$5:$B$111,B62)</x:f>
        <x:v>1</x:v>
      </x:c>
      <x:c r="E62" s="28" t="n">
        <x:f>COUNTIFS(Datasets!$A$5:$A$111,A62,Datasets!$B$5:$B$111,B62,Datasets!$E$5:$E$111,"&lt;&gt;D")</x:f>
        <x:v>1</x:v>
      </x:c>
      <x:c r="F62" s="28" t="str">
        <x:v>https://www.donneesquebec.ca/recherche/organization/ville-de-gatineau</x:v>
      </x:c>
      <x:c r="G62" s="28" t="str">
        <x:v>CKAN</x:v>
      </x:c>
      <x:c r="H62" s="28" t="str">
        <x:v>Transport</x:v>
      </x:c>
      <x:c r="I62" s="28" t="str">
        <x:v>Official catalogue located</x:v>
      </x:c>
      <x:c r="J62" s="28" t="str"/>
      <x:c r="K62" s="28" t="str">
        <x:v>CA_STATCAN_98100002</x:v>
      </x:c>
      <x:c r="L62" s="28" t="str">
        <x:v>https://www150.statcan.gc.ca/n1/tbl/csv/98100002-eng.zip</x:v>
      </x:c>
      <x:c r="M62" s="28" t="str">
        <x:v>https://www.donneesquebec.ca/recherche/organization/ville-de-gatineau</x:v>
      </x:c>
      <x:c r="N62" s="28" t="str">
        <x:v>2026-10-07</x:v>
      </x:c>
    </x:row>
    <x:row r="63" ht="86" customHeight="1">
      <x:c r="A63" s="28" t="str">
        <x:v>Laval</x:v>
      </x:c>
      <x:c r="B63" s="28" t="str">
        <x:v>QC</x:v>
      </x:c>
      <x:c r="C63" s="28" t="str">
        <x:v>Specific dataset(s) with documented format / derived endpoint</x:v>
      </x:c>
      <x:c r="D63" s="28" t="n">
        <x:f>COUNTIFS(Datasets!$A$5:$A$111,A63,Datasets!$B$5:$B$111,B63)</x:f>
        <x:v>1</x:v>
      </x:c>
      <x:c r="E63" s="28" t="n">
        <x:f>COUNTIFS(Datasets!$A$5:$A$111,A63,Datasets!$B$5:$B$111,B63,Datasets!$E$5:$E$111,"&lt;&gt;D")</x:f>
        <x:v>1</x:v>
      </x:c>
      <x:c r="F63" s="28" t="str">
        <x:v>https://www.donneesquebec.ca/recherche/organization/ville-de-laval</x:v>
      </x:c>
      <x:c r="G63" s="28" t="str">
        <x:v>CKAN</x:v>
      </x:c>
      <x:c r="H63" s="28" t="str">
        <x:v>Government</x:v>
      </x:c>
      <x:c r="I63" s="28" t="str">
        <x:v>Official catalogue located</x:v>
      </x:c>
      <x:c r="J63" s="28" t="str"/>
      <x:c r="K63" s="28" t="str">
        <x:v>CA_STATCAN_98100002</x:v>
      </x:c>
      <x:c r="L63" s="28" t="str">
        <x:v>https://www150.statcan.gc.ca/n1/tbl/csv/98100002-eng.zip</x:v>
      </x:c>
      <x:c r="M63" s="28" t="str">
        <x:v>https://www.donneesquebec.ca/recherche/organization/ville-de-laval</x:v>
      </x:c>
      <x:c r="N63" s="28" t="str">
        <x:v>2026-10-07</x:v>
      </x:c>
    </x:row>
    <x:row r="64" ht="86" customHeight="1">
      <x:c r="A64" s="28" t="str">
        <x:v>Longueuil</x:v>
      </x:c>
      <x:c r="B64" s="28" t="str">
        <x:v>QC</x:v>
      </x:c>
      <x:c r="C64" s="28" t="str">
        <x:v>Specific dataset(s) with documented format / derived endpoint</x:v>
      </x:c>
      <x:c r="D64" s="28" t="n">
        <x:f>COUNTIFS(Datasets!$A$5:$A$111,A64,Datasets!$B$5:$B$111,B64)</x:f>
        <x:v>1</x:v>
      </x:c>
      <x:c r="E64" s="28" t="n">
        <x:f>COUNTIFS(Datasets!$A$5:$A$111,A64,Datasets!$B$5:$B$111,B64,Datasets!$E$5:$E$111,"&lt;&gt;D")</x:f>
        <x:v>1</x:v>
      </x:c>
      <x:c r="F64" s="28" t="str">
        <x:v>https://www.donneesquebec.ca/recherche/organization/ville-de-longueuil</x:v>
      </x:c>
      <x:c r="G64" s="28" t="str">
        <x:v>CKAN</x:v>
      </x:c>
      <x:c r="H64" s="28" t="str">
        <x:v>Transit</x:v>
      </x:c>
      <x:c r="I64" s="28" t="str">
        <x:v>Official catalogue located</x:v>
      </x:c>
      <x:c r="J64" s="28" t="str">
        <x:v>Transit data is published separately by RTL.</x:v>
      </x:c>
      <x:c r="K64" s="28" t="str">
        <x:v>CA_STATCAN_98100002</x:v>
      </x:c>
      <x:c r="L64" s="28" t="str">
        <x:v>https://www150.statcan.gc.ca/n1/tbl/csv/98100002-eng.zip</x:v>
      </x:c>
      <x:c r="M64" s="28" t="str">
        <x:v>https://www.donneesquebec.ca/recherche/organization/ville-de-longueuil</x:v>
      </x:c>
      <x:c r="N64" s="28" t="str">
        <x:v>2026-10-07</x:v>
      </x:c>
    </x:row>
    <x:row r="65" ht="86" customHeight="1">
      <x:c r="A65" s="28" t="str">
        <x:v>Lévis</x:v>
      </x:c>
      <x:c r="B65" s="28" t="str">
        <x:v>QC</x:v>
      </x:c>
      <x:c r="C65" s="28" t="str">
        <x:v>No local dataset selected; national CSV fallback</x:v>
      </x:c>
      <x:c r="D65" s="28" t="n">
        <x:f>COUNTIFS(Datasets!$A$5:$A$111,A65,Datasets!$B$5:$B$111,B65)</x:f>
        <x:v>0</x:v>
      </x:c>
      <x:c r="E65" s="28" t="n">
        <x:f>COUNTIFS(Datasets!$A$5:$A$111,A65,Datasets!$B$5:$B$111,B65,Datasets!$E$5:$E$111,"&lt;&gt;D")</x:f>
        <x:v>0</x:v>
      </x:c>
      <x:c r="F65" s="28" t="str">
        <x:v>https://www.stlevis.ca/stlevis/donnees-ouvertes</x:v>
      </x:c>
      <x:c r="G65" s="28" t="str">
        <x:v>Transit operator open data page</x:v>
      </x:c>
      <x:c r="H65" s="28" t="str"/>
      <x:c r="I65" s="28" t="str">
        <x:v>Source index; local dataset selection pending</x:v>
      </x:c>
      <x:c r="J65" s="28" t="str">
        <x:v>Transit page advertises GTFS but has conflicting reuse language. Review terms; not cleared for unrestricted commercial redistribution.</x:v>
      </x:c>
      <x:c r="K65" s="28" t="str">
        <x:v>CA_STATCAN_98100002</x:v>
      </x:c>
      <x:c r="L65" s="28" t="str">
        <x:v>https://www150.statcan.gc.ca/n1/tbl/csv/98100002-eng.zip</x:v>
      </x:c>
      <x:c r="M65" s="28" t="str">
        <x:v>https://www.stlevis.ca/stlevis/donnees-ouvertes</x:v>
      </x:c>
      <x:c r="N65" s="28" t="str">
        <x:v>2026-10-07</x:v>
      </x:c>
    </x:row>
    <x:row r="66" ht="86" customHeight="1">
      <x:c r="A66" s="28" t="str">
        <x:v>Montréal</x:v>
      </x:c>
      <x:c r="B66" s="28" t="str">
        <x:v>QC</x:v>
      </x:c>
      <x:c r="C66" s="28" t="str">
        <x:v>Specific dataset(s) with documented format / derived endpoint</x:v>
      </x:c>
      <x:c r="D66" s="28" t="n">
        <x:f>COUNTIFS(Datasets!$A$5:$A$111,A66,Datasets!$B$5:$B$111,B66)</x:f>
        <x:v>1</x:v>
      </x:c>
      <x:c r="E66" s="28" t="n">
        <x:f>COUNTIFS(Datasets!$A$5:$A$111,A66,Datasets!$B$5:$B$111,B66,Datasets!$E$5:$E$111,"&lt;&gt;D")</x:f>
        <x:v>1</x:v>
      </x:c>
      <x:c r="F66" s="28" t="str">
        <x:v>https://donnees.montreal.ca/</x:v>
      </x:c>
      <x:c r="G66" s="28" t="str">
        <x:v>CKAN</x:v>
      </x:c>
      <x:c r="H66" s="28" t="str">
        <x:v>Environment</x:v>
      </x:c>
      <x:c r="I66" s="28" t="str">
        <x:v>Official catalogue located</x:v>
      </x:c>
      <x:c r="J66" s="28" t="str"/>
      <x:c r="K66" s="28" t="str">
        <x:v>CA_STATCAN_98100002</x:v>
      </x:c>
      <x:c r="L66" s="28" t="str">
        <x:v>https://www150.statcan.gc.ca/n1/tbl/csv/98100002-eng.zip</x:v>
      </x:c>
      <x:c r="M66" s="28" t="str">
        <x:v>https://donnees.montreal.ca/</x:v>
      </x:c>
      <x:c r="N66" s="28" t="str">
        <x:v>2026-10-07</x:v>
      </x:c>
    </x:row>
    <x:row r="67" ht="86" customHeight="1">
      <x:c r="A67" s="28" t="str">
        <x:v>Québec</x:v>
      </x:c>
      <x:c r="B67" s="28" t="str">
        <x:v>QC</x:v>
      </x:c>
      <x:c r="C67" s="28" t="str">
        <x:v>Specific dataset(s) with documented format / derived endpoint</x:v>
      </x:c>
      <x:c r="D67" s="28" t="n">
        <x:f>COUNTIFS(Datasets!$A$5:$A$111,A67,Datasets!$B$5:$B$111,B67)</x:f>
        <x:v>1</x:v>
      </x:c>
      <x:c r="E67" s="28" t="n">
        <x:f>COUNTIFS(Datasets!$A$5:$A$111,A67,Datasets!$B$5:$B$111,B67,Datasets!$E$5:$E$111,"&lt;&gt;D")</x:f>
        <x:v>1</x:v>
      </x:c>
      <x:c r="F67" s="28" t="str">
        <x:v>https://www.ville.quebec.qc.ca/services/donnees-services-ouverts/</x:v>
      </x:c>
      <x:c r="G67" s="28" t="str">
        <x:v>CKAN / Données Québec</x:v>
      </x:c>
      <x:c r="H67" s="28" t="str">
        <x:v>Parks</x:v>
      </x:c>
      <x:c r="I67" s="28" t="str">
        <x:v>Official catalogue located</x:v>
      </x:c>
      <x:c r="J67" s="28" t="str">
        <x:v>City programme links to the Données Québec catalogue.</x:v>
      </x:c>
      <x:c r="K67" s="28" t="str">
        <x:v>CA_STATCAN_98100002</x:v>
      </x:c>
      <x:c r="L67" s="28" t="str">
        <x:v>https://www150.statcan.gc.ca/n1/tbl/csv/98100002-eng.zip</x:v>
      </x:c>
      <x:c r="M67" s="28" t="str">
        <x:v>https://www.ville.quebec.qc.ca/services/donnees-services-ouverts/</x:v>
      </x:c>
      <x:c r="N67" s="28" t="str">
        <x:v>2026-10-07</x:v>
      </x:c>
    </x:row>
    <x:row r="68" ht="86" customHeight="1">
      <x:c r="A68" s="28" t="str">
        <x:v>Saguenay</x:v>
      </x:c>
      <x:c r="B68" s="28" t="str">
        <x:v>QC</x:v>
      </x:c>
      <x:c r="C68" s="28" t="str">
        <x:v>Specific dataset(s) with documented format / derived endpoint</x:v>
      </x:c>
      <x:c r="D68" s="28" t="n">
        <x:f>COUNTIFS(Datasets!$A$5:$A$111,A68,Datasets!$B$5:$B$111,B68)</x:f>
        <x:v>1</x:v>
      </x:c>
      <x:c r="E68" s="28" t="n">
        <x:f>COUNTIFS(Datasets!$A$5:$A$111,A68,Datasets!$B$5:$B$111,B68,Datasets!$E$5:$E$111,"&lt;&gt;D")</x:f>
        <x:v>1</x:v>
      </x:c>
      <x:c r="F68" s="28" t="str">
        <x:v>https://www.donneesquebec.ca/recherche/organization/ville-de-saguenay</x:v>
      </x:c>
      <x:c r="G68" s="28" t="str">
        <x:v>CKAN</x:v>
      </x:c>
      <x:c r="H68" s="28" t="str">
        <x:v>Parks</x:v>
      </x:c>
      <x:c r="I68" s="28" t="str">
        <x:v>Official catalogue located</x:v>
      </x:c>
      <x:c r="J68" s="28" t="str"/>
      <x:c r="K68" s="28" t="str">
        <x:v>CA_STATCAN_98100002</x:v>
      </x:c>
      <x:c r="L68" s="28" t="str">
        <x:v>https://www150.statcan.gc.ca/n1/tbl/csv/98100002-eng.zip</x:v>
      </x:c>
      <x:c r="M68" s="28" t="str">
        <x:v>https://www.donneesquebec.ca/recherche/organization/ville-de-saguenay</x:v>
      </x:c>
      <x:c r="N68" s="28" t="str">
        <x:v>2026-10-07</x:v>
      </x:c>
    </x:row>
    <x:row r="69" ht="86" customHeight="1">
      <x:c r="A69" s="28" t="str">
        <x:v>Sherbrooke</x:v>
      </x:c>
      <x:c r="B69" s="28" t="str">
        <x:v>QC</x:v>
      </x:c>
      <x:c r="C69" s="28" t="str">
        <x:v>Specific dataset lead(s); export verification required</x:v>
      </x:c>
      <x:c r="D69" s="28" t="n">
        <x:f>COUNTIFS(Datasets!$A$5:$A$111,A69,Datasets!$B$5:$B$111,B69)</x:f>
        <x:v>1</x:v>
      </x:c>
      <x:c r="E69" s="28" t="n">
        <x:f>COUNTIFS(Datasets!$A$5:$A$111,A69,Datasets!$B$5:$B$111,B69,Datasets!$E$5:$E$111,"&lt;&gt;D")</x:f>
        <x:v>0</x:v>
      </x:c>
      <x:c r="F69" s="28" t="str">
        <x:v>https://donneesouvertes-sherbrooke.opendata.arcgis.com/</x:v>
      </x:c>
      <x:c r="G69" s="28" t="str">
        <x:v>ArcGIS Hub</x:v>
      </x:c>
      <x:c r="H69" s="28" t="str">
        <x:v>Parks and recreation</x:v>
      </x:c>
      <x:c r="I69" s="28" t="str">
        <x:v>Official catalogue located</x:v>
      </x:c>
      <x:c r="J69" s="28" t="str">
        <x:v>Also distributed through Données Québec.</x:v>
      </x:c>
      <x:c r="K69" s="28" t="str">
        <x:v>CA_STATCAN_98100002</x:v>
      </x:c>
      <x:c r="L69" s="28" t="str">
        <x:v>https://www150.statcan.gc.ca/n1/tbl/csv/98100002-eng.zip</x:v>
      </x:c>
      <x:c r="M69" s="28" t="str">
        <x:v>https://donneesouvertes-sherbrooke.opendata.arcgis.com/</x:v>
      </x:c>
      <x:c r="N69" s="28" t="str">
        <x:v>2026-10-07</x:v>
      </x:c>
    </x:row>
    <x:row r="70" ht="86" customHeight="1">
      <x:c r="A70" s="28" t="str">
        <x:v>Terrebonne</x:v>
      </x:c>
      <x:c r="B70" s="28" t="str">
        <x:v>QC</x:v>
      </x:c>
      <x:c r="C70" s="28" t="str">
        <x:v>No local dataset selected; national CSV fallback</x:v>
      </x:c>
      <x:c r="D70" s="28" t="n">
        <x:f>COUNTIFS(Datasets!$A$5:$A$111,A70,Datasets!$B$5:$B$111,B70)</x:f>
        <x:v>0</x:v>
      </x:c>
      <x:c r="E70" s="28" t="n">
        <x:f>COUNTIFS(Datasets!$A$5:$A$111,A70,Datasets!$B$5:$B$111,B70,Datasets!$E$5:$E$111,"&lt;&gt;D")</x:f>
        <x:v>0</x:v>
      </x:c>
      <x:c r="F70" s="28" t="str">
        <x:v>https://terrebonne.ca/acces-a-l-information/</x:v>
      </x:c>
      <x:c r="G70" s="28" t="str">
        <x:v>Municipal open data policy</x:v>
      </x:c>
      <x:c r="H70" s="28" t="str"/>
      <x:c r="I70" s="28" t="str">
        <x:v>Source index; local dataset selection pending</x:v>
      </x:c>
      <x:c r="J70" s="28" t="str">
        <x:v>City directs users to Données Québec. A specific municipal bulk export was not verified.</x:v>
      </x:c>
      <x:c r="K70" s="28" t="str">
        <x:v>CA_STATCAN_98100002</x:v>
      </x:c>
      <x:c r="L70" s="28" t="str">
        <x:v>https://www150.statcan.gc.ca/n1/tbl/csv/98100002-eng.zip</x:v>
      </x:c>
      <x:c r="M70" s="28" t="str">
        <x:v>https://terrebonne.ca/acces-a-l-information/</x:v>
      </x:c>
      <x:c r="N70" s="28" t="str">
        <x:v>2026-10-07</x:v>
      </x:c>
    </x:row>
    <x:row r="71" ht="86" customHeight="1">
      <x:c r="A71" s="28" t="str">
        <x:v>Trois-Rivières</x:v>
      </x:c>
      <x:c r="B71" s="28" t="str">
        <x:v>QC</x:v>
      </x:c>
      <x:c r="C71" s="28" t="str">
        <x:v>Specific dataset(s) with documented format / derived endpoint</x:v>
      </x:c>
      <x:c r="D71" s="28" t="n">
        <x:f>COUNTIFS(Datasets!$A$5:$A$111,A71,Datasets!$B$5:$B$111,B71)</x:f>
        <x:v>1</x:v>
      </x:c>
      <x:c r="E71" s="28" t="n">
        <x:f>COUNTIFS(Datasets!$A$5:$A$111,A71,Datasets!$B$5:$B$111,B71,Datasets!$E$5:$E$111,"&lt;&gt;D")</x:f>
        <x:v>1</x:v>
      </x:c>
      <x:c r="F71" s="28" t="str">
        <x:v>https://www.donneesquebec.ca/recherche/organization/ville-de-trois-rivieres</x:v>
      </x:c>
      <x:c r="G71" s="28" t="str">
        <x:v>CKAN</x:v>
      </x:c>
      <x:c r="H71" s="28" t="str">
        <x:v>Planning</x:v>
      </x:c>
      <x:c r="I71" s="28" t="str">
        <x:v>Official catalogue located</x:v>
      </x:c>
      <x:c r="J71" s="28" t="str"/>
      <x:c r="K71" s="28" t="str">
        <x:v>CA_STATCAN_98100002</x:v>
      </x:c>
      <x:c r="L71" s="28" t="str">
        <x:v>https://www150.statcan.gc.ca/n1/tbl/csv/98100002-eng.zip</x:v>
      </x:c>
      <x:c r="M71" s="28" t="str">
        <x:v>https://www.donneesquebec.ca/recherche/organization/ville-de-trois-rivieres</x:v>
      </x:c>
      <x:c r="N71" s="28" t="str">
        <x:v>2026-10-07</x:v>
      </x:c>
    </x:row>
    <x:row r="72" ht="86" customHeight="1">
      <x:c r="A72" s="28" t="str">
        <x:v>Regina</x:v>
      </x:c>
      <x:c r="B72" s="28" t="str">
        <x:v>SK</x:v>
      </x:c>
      <x:c r="C72" s="28" t="str">
        <x:v>Specific dataset(s) with documented format / derived endpoint</x:v>
      </x:c>
      <x:c r="D72" s="28" t="n">
        <x:f>COUNTIFS(Datasets!$A$5:$A$111,A72,Datasets!$B$5:$B$111,B72)</x:f>
        <x:v>2</x:v>
      </x:c>
      <x:c r="E72" s="28" t="n">
        <x:f>COUNTIFS(Datasets!$A$5:$A$111,A72,Datasets!$B$5:$B$111,B72,Datasets!$E$5:$E$111,"&lt;&gt;D")</x:f>
        <x:v>1</x:v>
      </x:c>
      <x:c r="F72" s="28" t="str">
        <x:v>https://openregina.ca/</x:v>
      </x:c>
      <x:c r="G72" s="28" t="str">
        <x:v>CKAN</x:v>
      </x:c>
      <x:c r="H72" s="28" t="str">
        <x:v>Addresses and property; Parking and enforcement</x:v>
      </x:c>
      <x:c r="I72" s="28" t="str">
        <x:v>Official catalogue located</x:v>
      </x:c>
      <x:c r="J72" s="28" t="str"/>
      <x:c r="K72" s="28" t="str">
        <x:v>CA_STATCAN_98100002</x:v>
      </x:c>
      <x:c r="L72" s="28" t="str">
        <x:v>https://www150.statcan.gc.ca/n1/tbl/csv/98100002-eng.zip</x:v>
      </x:c>
      <x:c r="M72" s="28" t="str">
        <x:v>https://openregina.ca/</x:v>
      </x:c>
      <x:c r="N72" s="28" t="str">
        <x:v>2026-10-07</x:v>
      </x:c>
    </x:row>
    <x:row r="73" ht="86" customHeight="1">
      <x:c r="A73" s="28" t="str">
        <x:v>Saskatoon</x:v>
      </x:c>
      <x:c r="B73" s="28" t="str">
        <x:v>SK</x:v>
      </x:c>
      <x:c r="C73" s="28" t="str">
        <x:v>Specific dataset(s) with documented format / derived endpoint</x:v>
      </x:c>
      <x:c r="D73" s="28" t="n">
        <x:f>COUNTIFS(Datasets!$A$5:$A$111,A73,Datasets!$B$5:$B$111,B73)</x:f>
        <x:v>1</x:v>
      </x:c>
      <x:c r="E73" s="28" t="n">
        <x:f>COUNTIFS(Datasets!$A$5:$A$111,A73,Datasets!$B$5:$B$111,B73,Datasets!$E$5:$E$111,"&lt;&gt;D")</x:f>
        <x:v>1</x:v>
      </x:c>
      <x:c r="F73" s="28" t="str">
        <x:v>https://opendata.saskatoon.ca/</x:v>
      </x:c>
      <x:c r="G73" s="28" t="str">
        <x:v>ArcGIS Hub</x:v>
      </x:c>
      <x:c r="H73" s="28" t="str">
        <x:v>Transit</x:v>
      </x:c>
      <x:c r="I73" s="28" t="str">
        <x:v>Official catalogue located</x:v>
      </x:c>
      <x:c r="J73" s="28" t="str"/>
      <x:c r="K73" s="28" t="str">
        <x:v>CA_STATCAN_98100002</x:v>
      </x:c>
      <x:c r="L73" s="28" t="str">
        <x:v>https://www150.statcan.gc.ca/n1/tbl/csv/98100002-eng.zip</x:v>
      </x:c>
      <x:c r="M73" s="28" t="str">
        <x:v>https://opendata.saskatoon.ca/</x:v>
      </x:c>
      <x:c r="N73" s="28" t="str">
        <x:v>2026-10-07</x:v>
      </x:c>
    </x:row>
    <x:row r="74" ht="86" customHeight="1">
      <x:c r="A74" s="28" t="str">
        <x:v>Whitehorse</x:v>
      </x:c>
      <x:c r="B74" s="28" t="str">
        <x:v>YT</x:v>
      </x:c>
      <x:c r="C74" s="28" t="str">
        <x:v>Specific dataset(s) with documented format / derived endpoint</x:v>
      </x:c>
      <x:c r="D74" s="28" t="n">
        <x:f>COUNTIFS(Datasets!$A$5:$A$111,A74,Datasets!$B$5:$B$111,B74)</x:f>
        <x:v>1</x:v>
      </x:c>
      <x:c r="E74" s="28" t="n">
        <x:f>COUNTIFS(Datasets!$A$5:$A$111,A74,Datasets!$B$5:$B$111,B74,Datasets!$E$5:$E$111,"&lt;&gt;D")</x:f>
        <x:v>1</x:v>
      </x:c>
      <x:c r="F74" s="28" t="str">
        <x:v>https://data.whitehorse.ca/</x:v>
      </x:c>
      <x:c r="G74" s="28" t="str">
        <x:v>Municipal GIS</x:v>
      </x:c>
      <x:c r="H74" s="28" t="str">
        <x:v>Demographics</x:v>
      </x:c>
      <x:c r="I74" s="28" t="str">
        <x:v>Municipal reuse restriction; territorial CSV fallback</x:v>
      </x:c>
      <x:c r="J74" s="28" t="str">
        <x:v>Municipal terms restrict commercial redistribution without permission. The selected Census CSV is separately published under the Government of Yukon licence.</x:v>
      </x:c>
      <x:c r="K74" s="28" t="str">
        <x:v>CA_STATCAN_98100002</x:v>
      </x:c>
      <x:c r="L74" s="28" t="str">
        <x:v>https://www150.statcan.gc.ca/n1/tbl/csv/98100002-eng.zip</x:v>
      </x:c>
      <x:c r="M74" s="28" t="str">
        <x:v>https://data.whitehorse.ca/</x:v>
      </x:c>
      <x:c r="N74" s="28" t="str">
        <x:v>2026-10-07</x:v>
      </x:c>
    </x:row>
  </x:sheetData>
  <x:mergeCells>
    <x:mergeCell ref="A1:N1"/>
    <x:mergeCell ref="A2:N2"/>
  </x:mergeCells>
  <x:pageMargins left="0.7" right="0.7" top="0.75" bottom="0.75" header="0.3" footer="0.3"/>
  <x:tableParts count="1">
    <x:tablePart xmlns:r="http://schemas.openxmlformats.org/officeDocument/2006/relationships" r:id="Rbf6ddb6769ae4200"/>
  </x:tableParts>
</x:worksheet>
</file>

<file path=xl/worksheets/sheet4.xml><?xml version="1.0" encoding="utf-8"?>
<x:worksheet xmlns:x="http://schemas.openxmlformats.org/spreadsheetml/2006/main">
  <x:sheetFormatPr defaultRowHeight="15"/>
  <x:cols>
    <x:col min="1" max="1" width="25" hidden="0" customWidth="1"/>
    <x:col min="2" max="2" width="40" hidden="0" customWidth="1"/>
    <x:col min="3" max="3" width="24" hidden="0" customWidth="1"/>
    <x:col min="4" max="4" width="38" hidden="0" customWidth="1"/>
    <x:col min="5" max="5" width="29" hidden="0" customWidth="1"/>
    <x:col min="6" max="6" width="40" hidden="0" customWidth="1"/>
    <x:col min="7" max="7" width="40" hidden="0" customWidth="1"/>
    <x:col min="8" max="8" width="40" hidden="0" customWidth="1"/>
    <x:col min="9" max="9" width="36" hidden="0" customWidth="1"/>
    <x:col min="10" max="10" width="29" hidden="0" customWidth="1"/>
    <x:col min="11" max="11" width="40" hidden="0" customWidth="1"/>
    <x:col min="12" max="12" width="40" hidden="0" customWidth="1"/>
    <x:col min="13" max="13" width="40" hidden="0" customWidth="1"/>
    <x:col min="14" max="14" width="14" hidden="0" customWidth="1"/>
  </x:cols>
  <x:sheetData>
    <x:row r="1" ht="34" customHeight="1">
      <x:c r="A1" s="6" t="str">
        <x:v>NATIONAL MUNICIPAL BASELINE</x:v>
      </x:c>
      <x:c r="B1" s="6"/>
      <x:c r="C1" s="6"/>
      <x:c r="D1" s="6"/>
      <x:c r="E1" s="6"/>
      <x:c r="F1" s="6"/>
      <x:c r="G1" s="6"/>
      <x:c r="H1" s="6"/>
      <x:c r="I1" s="6"/>
      <x:c r="J1" s="6"/>
      <x:c r="K1" s="6"/>
      <x:c r="L1" s="6"/>
      <x:c r="M1" s="6"/>
      <x:c r="N1" s="6"/>
    </x:row>
    <x:row r="2" ht="32" customHeight="1">
      <x:c r="A2" s="13" t="str">
        <x:v>One comparable CSV source across municipalities. This is not a replacement for city permit, licence, traffic or service data.</x:v>
      </x:c>
      <x:c r="B2" s="13"/>
      <x:c r="C2" s="13"/>
      <x:c r="D2" s="13"/>
      <x:c r="E2" s="13"/>
      <x:c r="F2" s="13"/>
      <x:c r="G2" s="13"/>
      <x:c r="H2" s="13"/>
      <x:c r="I2" s="13"/>
      <x:c r="J2" s="13"/>
      <x:c r="K2" s="13"/>
      <x:c r="L2" s="13"/>
      <x:c r="M2" s="13"/>
      <x:c r="N2" s="13"/>
    </x:row>
    <x:row r="3">
      <x:c r="A3" s="2"/>
      <x:c r="B3" s="2"/>
      <x:c r="C3" s="2"/>
      <x:c r="D3" s="2"/>
      <x:c r="E3" s="2"/>
      <x:c r="F3" s="2"/>
      <x:c r="G3" s="2"/>
      <x:c r="H3" s="2"/>
      <x:c r="I3" s="2"/>
      <x:c r="J3" s="2"/>
      <x:c r="K3" s="2"/>
      <x:c r="L3" s="2"/>
      <x:c r="M3" s="2"/>
      <x:c r="N3" s="2"/>
    </x:row>
    <x:row r="4" ht="32" customHeight="1">
      <x:c r="A4" s="21" t="str">
        <x:v>Dataset ID</x:v>
      </x:c>
      <x:c r="B4" s="21" t="str">
        <x:v>Dataset</x:v>
      </x:c>
      <x:c r="C4" s="21" t="str">
        <x:v>Publisher</x:v>
      </x:c>
      <x:c r="D4" s="21" t="str">
        <x:v>Geographic coverage</x:v>
      </x:c>
      <x:c r="E4" s="21" t="str">
        <x:v>Formats</x:v>
      </x:c>
      <x:c r="F4" s="21" t="str">
        <x:v>Dataset page</x:v>
      </x:c>
      <x:c r="G4" s="21" t="str">
        <x:v>Download URL</x:v>
      </x:c>
      <x:c r="H4" s="21" t="str">
        <x:v>WDS resolver</x:v>
      </x:c>
      <x:c r="I4" s="21" t="str">
        <x:v>Observation period</x:v>
      </x:c>
      <x:c r="J4" s="21" t="str">
        <x:v>Licence</x:v>
      </x:c>
      <x:c r="K4" s="21" t="str">
        <x:v>Verification</x:v>
      </x:c>
      <x:c r="L4" s="21" t="str">
        <x:v>Notes</x:v>
      </x:c>
      <x:c r="M4" s="21" t="str">
        <x:v>Source URL</x:v>
      </x:c>
      <x:c r="N4" s="21" t="str">
        <x:v>Checked date</x:v>
      </x:c>
    </x:row>
    <x:row r="5" ht="115" customHeight="1">
      <x:c r="A5" s="28" t="str">
        <x:v>CA_STATCAN_98100002</x:v>
      </x:c>
      <x:c r="B5" s="28" t="str">
        <x:v>Population and dwelling counts: Canada and census subdivisions (municipalities)</x:v>
      </x:c>
      <x:c r="C5" s="28" t="str">
        <x:v>Statistics Canada</x:v>
      </x:c>
      <x:c r="D5" s="28" t="str">
        <x:v>All Canadian municipalities / census subdivisions, subject to Census notes</x:v>
      </x:c>
      <x:c r="E5" s="28" t="str">
        <x:v>CSV (ZIP); SDMX via Web Data Service</x:v>
      </x:c>
      <x:c r="F5" s="28" t="str">
        <x:v>https://www150.statcan.gc.ca/t1/tbl1/en/tv.action?pid=9810000201</x:v>
      </x:c>
      <x:c r="G5" s="28" t="str">
        <x:v>https://www150.statcan.gc.ca/n1/tbl/csv/98100002-eng.zip</x:v>
      </x:c>
      <x:c r="H5" s="28" t="str">
        <x:v>https://www150.statcan.gc.ca/t1/wds/rest/getFullTableDownloadCSV/98100002/en</x:v>
      </x:c>
      <x:c r="I5" s="28" t="str">
        <x:v>2016 and 2021 Census counts; not current population estimates</x:v>
      </x:c>
      <x:c r="J5" s="28" t="str">
        <x:v>Statistics Canada Open Licence</x:v>
      </x:c>
      <x:c r="K5" s="28" t="str">
        <x:v>Official table identifies municipal coverage; ZIP content type observed, contents not unpacked</x:v>
      </x:c>
      <x:c r="L5" s="28" t="str">
        <x:v>Filter by GEO / municipality and province; retain DGUID or other geographic identifiers when present. Do not treat municipal boundaries as metropolitan boundaries. This is one shared national resource, not one unique dataset per city.</x:v>
      </x:c>
      <x:c r="M5" s="28" t="str">
        <x:v>https://www150.statcan.gc.ca/t1/tbl1/en/tv.action?pid=9810000201</x:v>
      </x:c>
      <x:c r="N5" s="28" t="str">
        <x:v>2026-10-07</x:v>
      </x:c>
    </x:row>
  </x:sheetData>
  <x:mergeCells>
    <x:mergeCell ref="A1:N1"/>
    <x:mergeCell ref="A2:N2"/>
  </x:mergeCells>
  <x:pageMargins left="0.7" right="0.7" top="0.75" bottom="0.75" header="0.3" footer="0.3"/>
  <x:tableParts count="1">
    <x:tablePart xmlns:r="http://schemas.openxmlformats.org/officeDocument/2006/relationships" r:id="Rbae6592e54f946b2"/>
  </x:tableParts>
</x:worksheet>
</file>

<file path=xl/worksheets/sheet5.xml><?xml version="1.0" encoding="utf-8"?>
<x:worksheet xmlns:x="http://schemas.openxmlformats.org/spreadsheetml/2006/main">
  <x:sheetFormatPr defaultRowHeight="15"/>
  <x:cols>
    <x:col min="1" max="1" width="26" hidden="0" customWidth="1"/>
    <x:col min="2" max="2" width="34" hidden="0" customWidth="1"/>
    <x:col min="3" max="3" width="40" hidden="0" customWidth="1"/>
    <x:col min="4" max="4" width="40" hidden="0" customWidth="1"/>
    <x:col min="5" max="5" width="40" hidden="0" customWidth="1"/>
  </x:cols>
  <x:sheetData>
    <x:row r="1" ht="34" customHeight="1">
      <x:c r="A1" s="6" t="str">
        <x:v>ACCESS AND INGESTION GUIDE</x:v>
      </x:c>
      <x:c r="B1" s="6"/>
      <x:c r="C1" s="6"/>
      <x:c r="D1" s="6"/>
      <x:c r="E1" s="6"/>
    </x:row>
    <x:row r="2" ht="32" customHeight="1">
      <x:c r="A2" s="13" t="str">
        <x:v>Practical routes for CSV, JSON, geospatial files and transit feeds. Always inspect licence, schema and completeness.</x:v>
      </x:c>
      <x:c r="B2" s="13"/>
      <x:c r="C2" s="13"/>
      <x:c r="D2" s="13"/>
      <x:c r="E2" s="13"/>
    </x:row>
    <x:row r="3">
      <x:c r="A3" s="2"/>
      <x:c r="B3" s="2"/>
      <x:c r="C3" s="2"/>
      <x:c r="D3" s="2"/>
      <x:c r="E3" s="2"/>
    </x:row>
    <x:row r="4" ht="32" customHeight="1">
      <x:c r="A4" s="21" t="str">
        <x:v>Format / platform</x:v>
      </x:c>
      <x:c r="B4" s="21" t="str">
        <x:v>Typical coverage</x:v>
      </x:c>
      <x:c r="C4" s="21" t="str">
        <x:v>How to consume</x:v>
      </x:c>
      <x:c r="D4" s="21" t="str">
        <x:v>Limits / cautions</x:v>
      </x:c>
      <x:c r="E4" s="21" t="str">
        <x:v>Official reference</x:v>
      </x:c>
    </x:row>
    <x:row r="5" ht="105" customHeight="1">
      <x:c r="A5" s="28" t="str">
        <x:v>CSV / XLSX</x:v>
      </x:c>
      <x:c r="B5" s="28" t="str">
        <x:v>Tabular data</x:v>
      </x:c>
      <x:c r="C5" s="28" t="str">
        <x:v>Use a CSV reader; preserve identifier columns as strings. Inspect encoding, delimiter, date formats and units before joining.</x:v>
      </x:c>
      <x:c r="D5" s="28" t="str">
        <x:v>Do not assume an Excel workbook has only one table or that every date is an observation date.</x:v>
      </x:c>
      <x:c r="E5" s="28" t="str">
        <x:v>https://docs.python.org/3/library/csv.html</x:v>
      </x:c>
    </x:row>
    <x:row r="6" ht="105" customHeight="1">
      <x:c r="A6" s="28" t="str">
        <x:v>GeoJSON / SHP / GDB</x:v>
      </x:c>
      <x:c r="B6" s="28" t="str">
        <x:v>Spatial data</x:v>
      </x:c>
      <x:c r="C6" s="28" t="str">
        <x:v>Use a GIS-capable reader. Prefer GeoJSON or GeoPackage when offered; keep coordinates and geometry rather than flattening polygons to CSV.</x:v>
      </x:c>
      <x:c r="D6" s="28" t="str">
        <x:v>Check the coordinate reference system. Shapefiles require their companion files; keep the ZIP together.</x:v>
      </x:c>
      <x:c r="E6" s="28" t="str">
        <x:v>https://developers.arcgis.com/rest/services-reference/enterprise/query-feature-service-layer/</x:v>
      </x:c>
    </x:row>
    <x:row r="7" ht="105" customHeight="1">
      <x:c r="A7" s="28" t="str">
        <x:v>Socrata</x:v>
      </x:c>
      <x:c r="B7" s="28" t="str">
        <x:v>Calgary; Edmonton; Winnipeg</x:v>
      </x:c>
      <x:c r="C7" s="28" t="str">
        <x:v>The catalogue provides a rows.csv export and a /resource/{id}.json route derived from the dataset ID.</x:v>
      </x:c>
      <x:c r="D7" s="28" t="str">
        <x:v>Confirm endpoint version and access policy; paginate JSON with a stable ordering. A default response is not a complete export.</x:v>
      </x:c>
      <x:c r="E7" s="28" t="str">
        <x:v>https://dev.socrata.com/docs/queries/</x:v>
      </x:c>
    </x:row>
    <x:row r="8" ht="105" customHeight="1">
      <x:c r="A8" s="28" t="str">
        <x:v>Opendatasoft / Huwise</x:v>
      </x:c>
      <x:c r="B8" s="28" t="str">
        <x:v>Vancouver</x:v>
      </x:c>
      <x:c r="C8" s="28" t="str">
        <x:v>Use /api/explore/v2.1/catalog/datasets/{id}/exports/csv for bulk CSV, or /records for filtered JSON.</x:v>
      </x:c>
      <x:c r="D8" s="28" t="str">
        <x:v>The constructed URLs were not downloaded. Records APIs have result limits; use exports for a full snapshot.</x:v>
      </x:c>
      <x:c r="E8" s="28" t="str">
        <x:v>https://help.opendatasoft.com/apis/ods-explore-v2/</x:v>
      </x:c>
    </x:row>
    <x:row r="9" ht="105" customHeight="1">
      <x:c r="A9" s="28" t="str">
        <x:v>CKAN</x:v>
      </x:c>
      <x:c r="B9" s="28" t="str">
        <x:v>Toronto; Regina; Surrey; Données Québec</x:v>
      </x:c>
      <x:c r="C9" s="28" t="str">
        <x:v>Call package_show for a dataset slug. Read result.resources and select the actual resource URL with CSV, JSON, GeoJSON or SHP format.</x:v>
      </x:c>
      <x:c r="D9" s="28" t="str">
        <x:v>Metadata JSON is not the data itself. Do not infer formats from a portal landing page; resource IDs and URLs may change.</x:v>
      </x:c>
      <x:c r="E9" s="28" t="str">
        <x:v>https://docs.ckan.org/en/latest/api/</x:v>
      </x:c>
    </x:row>
    <x:row r="10" ht="105" customHeight="1">
      <x:c r="A10" s="28" t="str">
        <x:v>ArcGIS Hub / REST</x:v>
      </x:c>
      <x:c r="B10" s="28" t="str">
        <x:v>Many municipal GIS catalogues</x:v>
      </x:c>
      <x:c r="C10" s="28" t="str">
        <x:v>Use the dataset Download menu. For item-ID URLs, metadata_api_url resolves ArcGIS item metadata; inspect its service URL and layer ID.</x:v>
      </x:c>
      <x:c r="D10" s="28" t="str">
        <x:v>A Hub link does not guarantee every export format. Inspect supportedQueryFormats, maxRecordCount and pagination support. Use returnIdsOnly plus batches where appropriate.</x:v>
      </x:c>
      <x:c r="E10" s="28" t="str">
        <x:v>https://developers.arcgis.com/rest/services-reference/enterprise/query-feature-service-layer/</x:v>
      </x:c>
    </x:row>
    <x:row r="11" ht="105" customHeight="1">
      <x:c r="A11" s="28" t="str">
        <x:v>GTFS Schedule</x:v>
      </x:c>
      <x:c r="B11" s="28" t="str">
        <x:v>Transit operators</x:v>
      </x:c>
      <x:c r="C11" s="28" t="str">
        <x:v>Download the ZIP and read routes.txt, stops.txt, trips.txt and stop_times.txt as comma-separated tables; join on the documented IDs.</x:v>
      </x:c>
      <x:c r="D11" s="28" t="str">
        <x:v>Schedule data is not actual vehicle performance. Regional feeds need city or route filtering. GTFS Realtime is a separate Protocol Buffers feed.</x:v>
      </x:c>
      <x:c r="E11" s="28" t="str">
        <x:v>https://www.rtl-longueuil.qc.ca/donnees-ouvertes</x:v>
      </x:c>
    </x:row>
    <x:row r="12" ht="105" customHeight="1">
      <x:c r="A12" s="28" t="str">
        <x:v>Red Deer API</x:v>
      </x:c>
      <x:c r="B12" s="28" t="str">
        <x:v>Building permits; business licences</x:v>
      </x:c>
      <x:c r="C12" s="28" t="str">
        <x:v>Use skip/take pagination and the returned totalCount. The catalogue includes a first-page JSON request and separate CSV download URL.</x:v>
      </x:c>
      <x:c r="D12" s="28" t="str">
        <x:v>A first page is not the complete data. Two JSON samples returned data during research; complete CSV exports were not fetched.</x:v>
      </x:c>
      <x:c r="E12" s="28" t="str">
        <x:v>https://data.reddeer.ca/buildingpermits</x:v>
      </x:c>
    </x:row>
    <x:row r="13" ht="105" customHeight="1">
      <x:c r="A13" s="28" t="str">
        <x:v>Statistics Canada WDS</x:v>
      </x:c>
      <x:c r="B13" s="28" t="str">
        <x:v>National municipal baseline</x:v>
      </x:c>
      <x:c r="C13" s="28" t="str">
        <x:v>Use getFullTableDownloadCSV for product 98100002 or the ZIP link in National. Filter by municipality and geographic identifiers.</x:v>
      </x:c>
      <x:c r="D13" s="28" t="str">
        <x:v>The data refers to 2016 / 2021 Census counts, not 2026 population. Do not mix municipality and metropolitan geographies.</x:v>
      </x:c>
      <x:c r="E13" s="28" t="str">
        <x:v>https://www.statcan.gc.ca/en/developers/wds</x:v>
      </x:c>
    </x:row>
  </x:sheetData>
  <x:mergeCells>
    <x:mergeCell ref="A1:E1"/>
    <x:mergeCell ref="A2:E2"/>
  </x:mergeCells>
  <x:pageMargins left="0.7" right="0.7" top="0.75" bottom="0.75" header="0.3" footer="0.3"/>
  <x:tableParts count="1">
    <x:tablePart xmlns:r="http://schemas.openxmlformats.org/officeDocument/2006/relationships" r:id="Ra2d61ac39315455c"/>
  </x:tableParts>
</x:worksheet>
</file>

<file path=xl/worksheets/sheet6.xml><?xml version="1.0" encoding="utf-8"?>
<x:worksheet xmlns:x="http://schemas.openxmlformats.org/spreadsheetml/2006/main">
  <x:sheetFormatPr defaultRowHeight="15"/>
  <x:cols>
    <x:col min="1" max="1" width="24" hidden="0" customWidth="1"/>
    <x:col min="2" max="2" width="32" hidden="0" customWidth="1"/>
    <x:col min="3" max="3" width="40" hidden="0" customWidth="1"/>
    <x:col min="4" max="4" width="40" hidden="0" customWidth="1"/>
    <x:col min="5" max="5" width="40" hidden="0" customWidth="1"/>
  </x:cols>
  <x:sheetData>
    <x:row r="1" ht="34" customHeight="1">
      <x:c r="A1" s="6" t="str">
        <x:v>COVERAGE AND REUSE CAVEATS</x:v>
      </x:c>
      <x:c r="B1" s="6"/>
      <x:c r="C1" s="6"/>
      <x:c r="D1" s="6"/>
      <x:c r="E1" s="6"/>
    </x:row>
    <x:row r="2" ht="32" customHeight="1">
      <x:c r="A2" s="13" t="str">
        <x:v>Verification, geography and licensing issues are kept explicit rather than hidden behind an open-data portal link.</x:v>
      </x:c>
      <x:c r="B2" s="13"/>
      <x:c r="C2" s="13"/>
      <x:c r="D2" s="13"/>
      <x:c r="E2" s="13"/>
    </x:row>
    <x:row r="3">
      <x:c r="A3" s="2"/>
      <x:c r="B3" s="2"/>
      <x:c r="C3" s="2"/>
      <x:c r="D3" s="2"/>
      <x:c r="E3" s="2"/>
    </x:row>
    <x:row r="4" ht="32" customHeight="1">
      <x:c r="A4" s="21" t="str">
        <x:v>Issue</x:v>
      </x:c>
      <x:c r="B4" s="21" t="str">
        <x:v>Applies to</x:v>
      </x:c>
      <x:c r="C4" s="21" t="str">
        <x:v>What was found</x:v>
      </x:c>
      <x:c r="D4" s="21" t="str">
        <x:v>Required check / interpretation</x:v>
      </x:c>
      <x:c r="E4" s="21" t="str">
        <x:v>Source URL</x:v>
      </x:c>
    </x:row>
    <x:row r="5" ht="98" customHeight="1">
      <x:c r="A5" s="28" t="str">
        <x:v>Scope</x:v>
      </x:c>
      <x:c r="B5" s="28" t="str">
        <x:v>All catalogue entries</x:v>
      </x:c>
      <x:c r="C5" s="28" t="str">
        <x:v>70 municipalities across 13 provinces and territories; a curated source and dataset catalogue, not an exhaustive inventory.</x:v>
      </x:c>
      <x:c r="D5" s="28" t="str">
        <x:v>Use City Sources for the explicit municipality list and coverage status.</x:v>
      </x:c>
      <x:c r="E5" s="28" t="str"/>
    </x:row>
    <x:row r="6" ht="98" customHeight="1">
      <x:c r="A6" s="28" t="str">
        <x:v>Verification</x:v>
      </x:c>
      <x:c r="B6" s="28" t="str">
        <x:v>All catalogue entries</x:v>
      </x:c>
      <x:c r="C6" s="28" t="str">
        <x:v>Only two sample JSON endpoints returned records during this review. No full raw-data export was downloaded or schema-profiled.</x:v>
      </x:c>
      <x:c r="D6" s="28" t="str">
        <x:v>Use tiers A/B/C as the better-documented starting set. Tier D entries remain useful leads, not verified downloads.</x:v>
      </x:c>
      <x:c r="E6" s="28" t="str"/>
    </x:row>
    <x:row r="7" ht="98" customHeight="1">
      <x:c r="A7" s="28" t="str">
        <x:v>Shared sources</x:v>
      </x:c>
      <x:c r="B7" s="28" t="str">
        <x:v>Grand River Transit; York Region</x:v>
      </x:c>
      <x:c r="C7" s="28" t="str">
        <x:v>Some regional dataset pages are repeated under multiple cities.</x:v>
      </x:c>
      <x:c r="D7" s="28" t="str">
        <x:v>Deduplicate using dataset_id. Entry counts are not distinct-dataset counts.</x:v>
      </x:c>
      <x:c r="E7" s="28" t="str"/>
    </x:row>
    <x:row r="8" ht="98" customHeight="1">
      <x:c r="A8" s="28" t="str">
        <x:v>No local export selected</x:v>
      </x:c>
      <x:c r="B8" s="28" t="str">
        <x:v>14 municipalities</x:v>
      </x:c>
      <x:c r="C8" s="28" t="str">
        <x:v>The source index includes municipalities for which no specific local export was selected.</x:v>
      </x:c>
      <x:c r="D8" s="28" t="str">
        <x:v>The shared Statistics Canada CSV supplies a municipal baseline; it is not municipal operational data.</x:v>
      </x:c>
      <x:c r="E8" s="28" t="str">
        <x:v>https://www150.statcan.gc.ca/t1/tbl1/en/tv.action?pid=9810000201</x:v>
      </x:c>
    </x:row>
    <x:row r="9" ht="98" customHeight="1">
      <x:c r="A9" s="28" t="str">
        <x:v>Licence restriction</x:v>
      </x:c>
      <x:c r="B9" s="28" t="str">
        <x:v>Whitehorse</x:v>
      </x:c>
      <x:c r="C9" s="28" t="str">
        <x:v>The municipal terms restrict commercial redistribution without permission.</x:v>
      </x:c>
      <x:c r="D9" s="28" t="str">
        <x:v>Use the separately licensed Yukon Census CSV for the listed fallback; do not treat the municipal GIS as unrestricted.</x:v>
      </x:c>
      <x:c r="E9" s="28" t="str">
        <x:v>https://data.whitehorse.ca/</x:v>
      </x:c>
    </x:row>
    <x:row r="10" ht="98" customHeight="1">
      <x:c r="A10" s="28" t="str">
        <x:v>Licence conflict</x:v>
      </x:c>
      <x:c r="B10" s="28" t="str">
        <x:v>Lévis transit</x:v>
      </x:c>
      <x:c r="C10" s="28" t="str">
        <x:v>The operator page includes both open-licence wording and restrictive reuse wording.</x:v>
      </x:c>
      <x:c r="D10" s="28" t="str">
        <x:v>Clarify terms with the publisher before commercial reuse; no transit dataset is promoted in the main catalogue.</x:v>
      </x:c>
      <x:c r="E10" s="28" t="str">
        <x:v>https://www.stlevis.ca/stlevis/donnees-ouvertes</x:v>
      </x:c>
    </x:row>
    <x:row r="11" ht="98" customHeight="1">
      <x:c r="A11" s="28" t="str">
        <x:v>Portal migration</x:v>
      </x:c>
      <x:c r="B11" s="28" t="str">
        <x:v>Windsor</x:v>
      </x:c>
      <x:c r="C11" s="28" t="str">
        <x:v>The legacy portal says it is no longer updated.</x:v>
      </x:c>
      <x:c r="D11" s="28" t="str">
        <x:v>Use the current ArcGIS Hub source in the city index; old links can describe stale datasets.</x:v>
      </x:c>
      <x:c r="E11" s="28" t="str">
        <x:v>https://opendata.citywindsor.ca/</x:v>
      </x:c>
    </x:row>
    <x:row r="12" ht="98" customHeight="1">
      <x:c r="A12" s="28" t="str">
        <x:v>Portal migration</x:v>
      </x:c>
      <x:c r="B12" s="28" t="str">
        <x:v>Delta</x:v>
      </x:c>
      <x:c r="C12" s="28" t="str">
        <x:v>The City launched a replacement portal in December 2025.</x:v>
      </x:c>
      <x:c r="D12" s="28" t="str">
        <x:v>Use opendata-deltabc.hub.arcgis.com rather than retired catalogue links.</x:v>
      </x:c>
      <x:c r="E12" s="28" t="str">
        <x:v>https://www.delta.ca/community-culture/happening-delta/news/city-delta-launches-new-open-data-portal</x:v>
      </x:c>
    </x:row>
    <x:row r="13" ht="98" customHeight="1">
      <x:c r="A13" s="28" t="str">
        <x:v>Geographic coverage</x:v>
      </x:c>
      <x:c r="B13" s="28" t="str">
        <x:v>Nanaimo; regional transit / boundaries</x:v>
      </x:c>
      <x:c r="C13" s="28" t="str">
        <x:v>Regional publishers are not necessarily the municipality. The RDN parks file may not cover City of Nanaimo parks.</x:v>
      </x:c>
      <x:c r="D13" s="28" t="str">
        <x:v>Inspect the spatial extent and filter or intersect with the municipality; do not assume city-complete coverage.</x:v>
      </x:c>
      <x:c r="E13" s="28" t="str">
        <x:v>https://rdn.bc.ca/sites/default/files/inline-files/CommunityParks_76.zip</x:v>
      </x:c>
    </x:row>
    <x:row r="14" ht="98" customHeight="1">
      <x:c r="A14" s="28" t="str">
        <x:v>Location quality</x:v>
      </x:c>
      <x:c r="B14" s="28" t="str">
        <x:v>Montréal tree inventory</x:v>
      </x:c>
      <x:c r="C14" s="28" t="str">
        <x:v>Tree locations can be inaccurate or out of date, and some boroughs omit park trees.</x:v>
      </x:c>
      <x:c r="D14" s="28" t="str">
        <x:v>Use borough inventory status and data-quality checks before citywide comparisons.</x:v>
      </x:c>
      <x:c r="E14" s="28" t="str">
        <x:v>https://app.geo.ca/en-ca/map-browser/record/b89fd27d-4b49-461b-8e54-fa2b34a628c4</x:v>
      </x:c>
    </x:row>
  </x:sheetData>
  <x:mergeCells>
    <x:mergeCell ref="A1:E1"/>
    <x:mergeCell ref="A2:E2"/>
  </x:mergeCells>
  <x:pageMargins left="0.7" right="0.7" top="0.75" bottom="0.75" header="0.3" footer="0.3"/>
  <x:tableParts count="1">
    <x:tablePart xmlns:r="http://schemas.openxmlformats.org/officeDocument/2006/relationships" r:id="Rf11ab01400124542"/>
  </x:tableParts>
</x:worksheet>
</file>